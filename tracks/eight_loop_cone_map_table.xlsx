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93da5cd90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参数" sheetId="1" r:id="R1998bdbda5fb4011"/>
    <x:sheet xmlns:r="http://schemas.openxmlformats.org/officeDocument/2006/relationships" name="锥桶坐标" sheetId="2" r:id="R9e31c4fa5d6f49cf"/>
    <x:sheet xmlns:r="http://schemas.openxmlformats.org/officeDocument/2006/relationships" name="YAML字段说明" sheetId="3" r:id="R249dec4b14e243fd"/>
    <x:sheet xmlns:r="http://schemas.openxmlformats.org/officeDocument/2006/relationships" name="数量校核" sheetId="4" r:id="R7381a36842ad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8" xfId="0" applyNumberFormat="1" applyFont="1" applyFill="1" applyBorder="1" applyAlignment="1">
      <x:alignment horizontal="center" vertical="center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/>
    <x:xf numFmtId="0" fontId="3" fillId="2" borderId="26" xfId="0" applyNumberFormat="1" applyFont="1" applyFill="1" applyBorder="1" applyAlignment="1">
      <x:alignment horizontal="center" vertical="center"/>
    </x:xf>
    <x:xf numFmtId="0" fontId="3" fillId="2" borderId="27" xfId="0" applyNumberFormat="1" applyFont="1" applyFill="1" applyBorder="1" applyAlignment="1">
      <x:alignment horizontal="center" vertical="center"/>
    </x:xf>
    <x:xf numFmtId="0" fontId="3" fillId="2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3" xfId="0" applyNumberFormat="1" applyFont="1" applyFill="1" applyBorder="1"/>
    <x:xf numFmtId="200" fontId="0" fillId="0" borderId="0" xfId="0" applyNumberFormat="1" applyFont="1" applyFill="1" applyBorder="1"/>
    <x:xf numFmtId="200" fontId="0" fillId="0" borderId="24" xfId="0" applyNumberFormat="1" applyFont="1" applyFill="1" applyBorder="1"/>
    <x:xf numFmtId="200" fontId="0" fillId="0" borderId="1" xfId="0" applyNumberFormat="1" applyFont="1" applyFill="1" applyBorder="1"/>
    <x:xf numFmtId="200" fontId="0" fillId="0" borderId="32" xfId="0" applyNumberFormat="1" applyFont="1" applyFill="1" applyBorder="1"/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3" fillId="2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0" fontId="0" fillId="0" borderId="32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3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26" xfId="0" applyNumberFormat="1" applyFont="1" applyFill="1" applyBorder="1" applyAlignment="1">
      <x:alignment horizontal="center"/>
    </x:xf>
    <x:xf numFmtId="0" fontId="3" fillId="2" borderId="27" xfId="0" applyNumberFormat="1" applyFont="1" applyFill="1" applyBorder="1" applyAlignment="1">
      <x:alignment horizontal="center"/>
    </x:xf>
    <x:xf numFmtId="0" fontId="3" fillId="2" borderId="28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6" xfId="0" applyNumberFormat="1" applyFont="1" applyFill="1" applyBorder="1" applyAlignment="1">
      <x:alignment horizontal="center" wrapText="1"/>
    </x:xf>
    <x:xf numFmtId="0" fontId="3" fillId="2" borderId="27" xfId="0" applyNumberFormat="1" applyFont="1" applyFill="1" applyBorder="1" applyAlignment="1">
      <x:alignment horizontal="center" wrapText="1"/>
    </x:xf>
    <x:xf numFmtId="0" fontId="3" fillId="2" borderId="28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4cd178a104343" /><Relationship Type="http://schemas.openxmlformats.org/officeDocument/2006/relationships/theme" Target="/xl/theme/theme1.xml" Id="R13248f8b42be4cf1" /><Relationship Type="http://schemas.microsoft.com/office/2022/11/relationships/FeaturePropertyBag" Target="/xl/featurePropertyBag/featurePropertyBag.xml" Id="R17537b364548414f" /><Relationship Type="http://schemas.openxmlformats.org/officeDocument/2006/relationships/sharedStrings" Target="/xl/sharedStrings.xml" Id="R322743d4d49e4de3" /><Relationship Type="http://schemas.openxmlformats.org/officeDocument/2006/relationships/worksheet" Target="/xl/worksheets/sheet1.xml" Id="R1998bdbda5fb4011" /><Relationship Type="http://schemas.openxmlformats.org/officeDocument/2006/relationships/worksheet" Target="/xl/worksheets/sheet2.xml" Id="R9e31c4fa5d6f49cf" /><Relationship Type="http://schemas.openxmlformats.org/officeDocument/2006/relationships/worksheet" Target="/xl/worksheets/sheet3.xml" Id="R249dec4b14e243fd" /><Relationship Type="http://schemas.openxmlformats.org/officeDocument/2006/relationships/worksheet" Target="/xl/worksheets/sheet4.xml" Id="R7381a36842ad4a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eCoordinateTable" displayName="ConeCoordinateTable" ref="A1:W67" headerRowCount="1">
  <x:tableColumns count="23">
    <x:tableColumn id="1" name="map_index"/>
    <x:tableColumn id="2" name="id"/>
    <x:tableColumn id="3" name="组"/>
    <x:tableColumn id="4" name="圆"/>
    <x:tableColumn id="5" name="边界"/>
    <x:tableColumn id="6" name="语义类型"/>
    <x:tableColumn id="7" name="颜色"/>
    <x:tableColumn id="8" name="型号"/>
    <x:tableColumn id="9" name="X(m)"/>
    <x:tableColumn id="10" name="Y(m)"/>
    <x:tableColumn id="11" name="Z(m)"/>
    <x:tableColumn id="12" name="Yaw(rad)"/>
    <x:tableColumn id="13" name="Yaw(°)"/>
    <x:tableColumn id="14" name="半径(m)"/>
    <x:tableColumn id="15" name="局部角度(°)"/>
    <x:tableColumn id="16" name="底座长(m)"/>
    <x:tableColumn id="17" name="底座宽(m)"/>
    <x:tableColumn id="18" name="高度(m)"/>
    <x:tableColumn id="19" name="反光带数"/>
    <x:tableColumn id="20" name="反光带颜色"/>
    <x:tableColumn id="21" name="数据来源状态"/>
    <x:tableColumn id="22" name="启用"/>
    <x:tableColumn id="2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4ed6a895f2418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40" hidden="0" customWidth="1"/>
  </x:cols>
  <x:sheetData>
    <x:row r="1">
      <x:c r="A1" s="35" t="str">
        <x:v>八字环绕测试锥桶地图参数表</x:v>
      </x:c>
      <x:c r="B1" s="35"/>
      <x:c r="C1" s="35"/>
      <x:c r="D1" s="35"/>
    </x:row>
    <x:row r="2">
      <x:c r="A2" s="36" t="str">
        <x:v>字段</x:v>
      </x:c>
      <x:c r="B2" s="37" t="str">
        <x:v>数值</x:v>
      </x:c>
      <x:c r="C2" s="37" t="str">
        <x:v>单位</x:v>
      </x:c>
      <x:c r="D2" s="38" t="str">
        <x:v>说明</x:v>
      </x:c>
    </x:row>
    <x:row r="3">
      <x:c r="A3" s="39" t="str">
        <x:v>map_id</x:v>
      </x:c>
      <x:c r="B3" s="40" t="str">
        <x:v>eight_loop_test_v1</x:v>
      </x:c>
      <x:c r="C3" s="40" t="str"/>
      <x:c r="D3" s="41" t="str">
        <x:v>YAML中的地图唯一标识</x:v>
      </x:c>
    </x:row>
    <x:row r="4">
      <x:c r="A4" s="39" t="str">
        <x:v>frame_id</x:v>
      </x:c>
      <x:c r="B4" s="40" t="str">
        <x:v>map</x:v>
      </x:c>
      <x:c r="C4" s="40" t="str"/>
      <x:c r="D4" s="41" t="str">
        <x:v>所有坐标所在坐标系</x:v>
      </x:c>
    </x:row>
    <x:row r="5">
      <x:c r="A5" s="39" t="str">
        <x:v>原点</x:v>
      </x:c>
      <x:c r="B5" s="40" t="str">
        <x:v>(0,0,0)</x:v>
      </x:c>
      <x:c r="C5" s="40" t="str">
        <x:v>m</x:v>
      </x:c>
      <x:c r="D5" s="41" t="str">
        <x:v>两圆中心线切点/起点-终点线中点</x:v>
      </x:c>
    </x:row>
    <x:row r="6">
      <x:c r="A6" s="39" t="str">
        <x:v>+X方向</x:v>
      </x:c>
      <x:c r="B6" s="40" t="str">
        <x:v>左圆圆心→右圆圆心</x:v>
      </x:c>
      <x:c r="C6" s="40" t="str"/>
      <x:c r="D6" s="41" t="str">
        <x:v>右手坐标系</x:v>
      </x:c>
    </x:row>
    <x:row r="7">
      <x:c r="A7" s="39" t="str">
        <x:v>+Y方向</x:v>
      </x:c>
      <x:c r="B7" s="40" t="str">
        <x:v>入口→出口</x:v>
      </x:c>
      <x:c r="C7" s="40" t="str"/>
      <x:c r="D7" s="41" t="str">
        <x:v>右手坐标系</x:v>
      </x:c>
    </x:row>
    <x:row r="8">
      <x:c r="A8" s="39" t="str">
        <x:v>yaw定义</x:v>
      </x:c>
      <x:c r="B8" s="40" t="str">
        <x:v>从+X起逆时针为正</x:v>
      </x:c>
      <x:c r="C8" s="40" t="str">
        <x:v>rad</x:v>
      </x:c>
      <x:c r="D8" s="41" t="str">
        <x:v>本表锥桶yaw统一为0</x:v>
      </x:c>
    </x:row>
    <x:row r="9">
      <x:c r="A9" s="39" t="str">
        <x:v>圆心距离</x:v>
      </x:c>
      <x:c r="B9" s="40" t="n">
        <x:v>18.25</x:v>
      </x:c>
      <x:c r="C9" s="40" t="str">
        <x:v>m</x:v>
      </x:c>
      <x:c r="D9" s="41" t="str">
        <x:v>图示明确尺寸</x:v>
      </x:c>
    </x:row>
    <x:row r="10">
      <x:c r="A10" s="39" t="str">
        <x:v>内圆直径</x:v>
      </x:c>
      <x:c r="B10" s="40" t="n">
        <x:v>15.25</x:v>
      </x:c>
      <x:c r="C10" s="40" t="str">
        <x:v>m</x:v>
      </x:c>
      <x:c r="D10" s="41" t="str">
        <x:v>图示明确尺寸</x:v>
      </x:c>
    </x:row>
    <x:row r="11">
      <x:c r="A11" s="39" t="str">
        <x:v>外圆直径</x:v>
      </x:c>
      <x:c r="B11" s="40" t="n">
        <x:v>21.25</x:v>
      </x:c>
      <x:c r="C11" s="40" t="str">
        <x:v>m</x:v>
      </x:c>
      <x:c r="D11" s="41" t="str">
        <x:v>图示明确尺寸</x:v>
      </x:c>
    </x:row>
    <x:row r="12">
      <x:c r="A12" s="39" t="str">
        <x:v>内圆半径</x:v>
      </x:c>
      <x:c r="B12" s="40" t="n">
        <x:v>7.625</x:v>
      </x:c>
      <x:c r="C12" s="40" t="str">
        <x:v>m</x:v>
      </x:c>
      <x:c r="D12" s="41" t="str">
        <x:v>内圆直径/2</x:v>
      </x:c>
    </x:row>
    <x:row r="13">
      <x:c r="A13" s="39" t="str">
        <x:v>中心线半径</x:v>
      </x:c>
      <x:c r="B13" s="40" t="n">
        <x:v>9.125</x:v>
      </x:c>
      <x:c r="C13" s="40" t="str">
        <x:v>m</x:v>
      </x:c>
      <x:c r="D13" s="41" t="str">
        <x:v>(内圆半径+外圆半径)/2</x:v>
      </x:c>
    </x:row>
    <x:row r="14">
      <x:c r="A14" s="39" t="str">
        <x:v>外圆半径</x:v>
      </x:c>
      <x:c r="B14" s="40" t="n">
        <x:v>10.625</x:v>
      </x:c>
      <x:c r="C14" s="40" t="str">
        <x:v>m</x:v>
      </x:c>
      <x:c r="D14" s="41" t="str">
        <x:v>外圆直径/2</x:v>
      </x:c>
    </x:row>
    <x:row r="15">
      <x:c r="A15" s="39" t="str">
        <x:v>赛道宽度</x:v>
      </x:c>
      <x:c r="B15" s="40" t="n">
        <x:v>3</x:v>
      </x:c>
      <x:c r="C15" s="40" t="str">
        <x:v>m</x:v>
      </x:c>
      <x:c r="D15" s="41" t="str">
        <x:v>外圆半径-内圆半径</x:v>
      </x:c>
    </x:row>
    <x:row r="16">
      <x:c r="A16" s="39" t="str">
        <x:v>左圆圆心</x:v>
      </x:c>
      <x:c r="B16" s="40" t="str">
        <x:v>(-9.125, 0.000)</x:v>
      </x:c>
      <x:c r="C16" s="40" t="str">
        <x:v>m</x:v>
      </x:c>
      <x:c r="D16" s="41" t="str"/>
    </x:row>
    <x:row r="17">
      <x:c r="A17" s="39" t="str">
        <x:v>右圆圆心</x:v>
      </x:c>
      <x:c r="B17" s="40" t="str">
        <x:v>(9.125, 0.000)</x:v>
      </x:c>
      <x:c r="C17" s="40" t="str">
        <x:v>m</x:v>
      </x:c>
      <x:c r="D17" s="41" t="str"/>
    </x:row>
    <x:row r="18">
      <x:c r="A18" s="39" t="str">
        <x:v>中心通道X范围</x:v>
      </x:c>
      <x:c r="B18" s="40" t="str">
        <x:v>[-1.500, 1.500]</x:v>
      </x:c>
      <x:c r="C18" s="40" t="str">
        <x:v>m</x:v>
      </x:c>
      <x:c r="D18" s="41" t="str">
        <x:v>宽3m</x:v>
      </x:c>
    </x:row>
    <x:row r="19">
      <x:c r="A19" s="39" t="str">
        <x:v>中心通道Y范围</x:v>
      </x:c>
      <x:c r="B19" s="40" t="str">
        <x:v>[-13.000, 13.000]</x:v>
      </x:c>
      <x:c r="C19" s="40" t="str">
        <x:v>m</x:v>
      </x:c>
      <x:c r="D19" s="41" t="str">
        <x:v>工程假设，可改</x:v>
      </x:c>
    </x:row>
    <x:row r="20">
      <x:c r="A20" s="39" t="str">
        <x:v>起点-终点线</x:v>
      </x:c>
      <x:c r="B20" s="40" t="str">
        <x:v>(-1.500,0)→(1.500,0)</x:v>
      </x:c>
      <x:c r="C20" s="40" t="str">
        <x:v>m</x:v>
      </x:c>
      <x:c r="D20" s="41" t="str"/>
    </x:row>
    <x:row r="21">
      <x:c r="A21" s="39" t="str">
        <x:v>减速锥桶门线</x:v>
      </x:c>
      <x:c r="B21" s="40" t="str">
        <x:v>y=±12.000</x:v>
      </x:c>
      <x:c r="C21" s="40" t="str">
        <x:v>m</x:v>
      </x:c>
      <x:c r="D21" s="41" t="str">
        <x:v>工程假设，可改</x:v>
      </x:c>
    </x:row>
    <x:row r="22">
      <x:c r="A22" s="39" t="str">
        <x:v>换向高锥桶纵向偏移</x:v>
      </x:c>
      <x:c r="B22" s="40" t="str">
        <x:v>y=±1.500</x:v>
      </x:c>
      <x:c r="C22" s="40" t="str">
        <x:v>m</x:v>
      </x:c>
      <x:c r="D22" s="41" t="str">
        <x:v>工程假设，可改</x:v>
      </x:c>
    </x:row>
    <x:row r="23">
      <x:c r="A23" s="39" t="str">
        <x:v>推荐栅格分辨率</x:v>
      </x:c>
      <x:c r="B23" s="40" t="n">
        <x:v>0.05</x:v>
      </x:c>
      <x:c r="C23" s="40" t="str">
        <x:v>m/pixel</x:v>
      </x:c>
      <x:c r="D23" s="41" t="str">
        <x:v>仅用于后续生成occupancy map</x:v>
      </x:c>
    </x:row>
    <x:row r="24">
      <x:c r="A24" s="39" t="str">
        <x:v>锥桶总数</x:v>
      </x:c>
      <x:c r="B24" s="40" t="n">
        <x:v>66</x:v>
      </x:c>
      <x:c r="C24" s="40" t="str">
        <x:v>个</x:v>
      </x:c>
      <x:c r="D24" s="41" t="str">
        <x:v>58行径+4换向+4减速</x:v>
      </x:c>
    </x:row>
    <x:row r="25">
      <x:c r="A25" s="39" t="str">
        <x:v>行径锥桶</x:v>
      </x:c>
      <x:c r="B25" s="40" t="n">
        <x:v>58</x:v>
      </x:c>
      <x:c r="C25" s="40" t="str">
        <x:v>个</x:v>
      </x:c>
      <x:c r="D25" s="41" t="str">
        <x:v>红/蓝小锥桶</x:v>
      </x:c>
    </x:row>
    <x:row r="26">
      <x:c r="A26" s="39" t="str">
        <x:v>换向锥桶</x:v>
      </x:c>
      <x:c r="B26" s="40" t="n">
        <x:v>4</x:v>
      </x:c>
      <x:c r="C26" s="40" t="str">
        <x:v>个</x:v>
      </x:c>
      <x:c r="D26" s="41" t="str">
        <x:v>黄色高锥桶</x:v>
      </x:c>
    </x:row>
    <x:row r="27">
      <x:c r="A27" s="42" t="str">
        <x:v>减速锥桶</x:v>
      </x:c>
      <x:c r="B27" s="43" t="n">
        <x:v>4</x:v>
      </x:c>
      <x:c r="C27" s="43" t="str">
        <x:v>个</x:v>
      </x:c>
      <x:c r="D27" s="44" t="str">
        <x:v>黄色小锥桶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10" hidden="0" customWidth="1"/>
    <x:col min="5" max="5" width="13" hidden="0" customWidth="1"/>
    <x:col min="6" max="6" width="18" hidden="0" customWidth="1"/>
    <x:col min="7" max="7" width="10" hidden="0" customWidth="1"/>
    <x:col min="8" max="8" width="24" hidden="0" customWidth="1"/>
    <x:col min="9" max="9" width="11" hidden="0" customWidth="1"/>
    <x:col min="10" max="10" width="11" hidden="0" customWidth="1"/>
    <x:col min="11" max="11" width="9" hidden="0" customWidth="1"/>
    <x:col min="12" max="12" width="11" hidden="0" customWidth="1"/>
    <x:col min="13" max="13" width="11" hidden="0" customWidth="1"/>
    <x:col min="14" max="14" width="13" hidden="0" customWidth="1"/>
    <x:col min="15" max="15" width="13" hidden="0" customWidth="1"/>
    <x:col min="16" max="16" width="11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20" hidden="0" customWidth="1"/>
    <x:col min="22" max="22" width="9" hidden="0" customWidth="1"/>
    <x:col min="23" max="23" width="48" hidden="0" customWidth="1"/>
  </x:cols>
  <x:sheetData>
    <x:row r="1">
      <x:c r="A1" s="86" t="str">
        <x:v>map_index</x:v>
      </x:c>
      <x:c r="B1" s="87" t="str">
        <x:v>id</x:v>
      </x:c>
      <x:c r="C1" s="87" t="str">
        <x:v>组</x:v>
      </x:c>
      <x:c r="D1" s="87" t="str">
        <x:v>圆</x:v>
      </x:c>
      <x:c r="E1" s="87" t="str">
        <x:v>边界</x:v>
      </x:c>
      <x:c r="F1" s="87" t="str">
        <x:v>语义类型</x:v>
      </x:c>
      <x:c r="G1" s="87" t="str">
        <x:v>颜色</x:v>
      </x:c>
      <x:c r="H1" s="87" t="str">
        <x:v>型号</x:v>
      </x:c>
      <x:c r="I1" s="87" t="str">
        <x:v>X(m)</x:v>
      </x:c>
      <x:c r="J1" s="87" t="str">
        <x:v>Y(m)</x:v>
      </x:c>
      <x:c r="K1" s="87" t="str">
        <x:v>Z(m)</x:v>
      </x:c>
      <x:c r="L1" s="87" t="str">
        <x:v>Yaw(rad)</x:v>
      </x:c>
      <x:c r="M1" s="87" t="str">
        <x:v>Yaw(°)</x:v>
      </x:c>
      <x:c r="N1" s="87" t="str">
        <x:v>半径(m)</x:v>
      </x:c>
      <x:c r="O1" s="87" t="str">
        <x:v>局部角度(°)</x:v>
      </x:c>
      <x:c r="P1" s="87" t="str">
        <x:v>底座长(m)</x:v>
      </x:c>
      <x:c r="Q1" s="87" t="str">
        <x:v>底座宽(m)</x:v>
      </x:c>
      <x:c r="R1" s="87" t="str">
        <x:v>高度(m)</x:v>
      </x:c>
      <x:c r="S1" s="87" t="str">
        <x:v>反光带数</x:v>
      </x:c>
      <x:c r="T1" s="87" t="str">
        <x:v>反光带颜色</x:v>
      </x:c>
      <x:c r="U1" s="87" t="str">
        <x:v>数据来源状态</x:v>
      </x:c>
      <x:c r="V1" s="87" t="str">
        <x:v>启用</x:v>
      </x:c>
      <x:c r="W1" s="88" t="str">
        <x:v>备注</x:v>
      </x:c>
    </x:row>
    <x:row r="2">
      <x:c r="A2" s="89" t="n">
        <x:v>1</x:v>
      </x:c>
      <x:c r="B2" s="40" t="str">
        <x:v>L_IN_01</x:v>
      </x:c>
      <x:c r="C2" s="40" t="str">
        <x:v>left_inner</x:v>
      </x:c>
      <x:c r="D2" s="40" t="str">
        <x:v>left</x:v>
      </x:c>
      <x:c r="E2" s="40" t="str">
        <x:v>inner</x:v>
      </x:c>
      <x:c r="F2" s="40" t="str">
        <x:v>route</x:v>
      </x:c>
      <x:c r="G2" s="40" t="str">
        <x:v>red</x:v>
      </x:c>
      <x:c r="H2" s="40" t="str">
        <x:v>small_route</x:v>
      </x:c>
      <x:c r="I2" s="90" t="n">
        <x:v>-1.5</x:v>
      </x:c>
      <x:c r="J2" s="90" t="n">
        <x:v>0</x:v>
      </x:c>
      <x:c r="K2" s="90" t="n">
        <x:v>0</x:v>
      </x:c>
      <x:c r="L2" s="90" t="n">
        <x:v>0</x:v>
      </x:c>
      <x:c r="M2" s="90" t="n">
        <x:v>0</x:v>
      </x:c>
      <x:c r="N2" s="90" t="n">
        <x:v>7.625</x:v>
      </x:c>
      <x:c r="O2" s="90" t="n">
        <x:v>0</x:v>
      </x:c>
      <x:c r="P2" s="90" t="n">
        <x:v>0.2</x:v>
      </x:c>
      <x:c r="Q2" s="90" t="n">
        <x:v>0.2</x:v>
      </x:c>
      <x:c r="R2" s="90" t="n">
        <x:v>0.3</x:v>
      </x:c>
      <x:c r="S2" s="40" t="n">
        <x:v>1</x:v>
      </x:c>
      <x:c r="T2" s="40" t="str">
        <x:v>white</x:v>
      </x:c>
      <x:c r="U2" s="40" t="str">
        <x:v>spec-derived</x:v>
      </x:c>
      <x:c r="V2" s="91" t="b">
        <x:v>1</x:v>
      </x:c>
      <x:c r="W2" s="92" t="str">
        <x:v>左圆内边界；按左圆逆时针行驶顺序编号。</x:v>
      </x:c>
    </x:row>
    <x:row r="3">
      <x:c r="A3" s="89" t="n">
        <x:v>2</x:v>
      </x:c>
      <x:c r="B3" s="40" t="str">
        <x:v>L_IN_02</x:v>
      </x:c>
      <x:c r="C3" s="40" t="str">
        <x:v>left_inner</x:v>
      </x:c>
      <x:c r="D3" s="40" t="str">
        <x:v>left</x:v>
      </x:c>
      <x:c r="E3" s="40" t="str">
        <x:v>inner</x:v>
      </x:c>
      <x:c r="F3" s="40" t="str">
        <x:v>route</x:v>
      </x:c>
      <x:c r="G3" s="40" t="str">
        <x:v>red</x:v>
      </x:c>
      <x:c r="H3" s="40" t="str">
        <x:v>small_route</x:v>
      </x:c>
      <x:c r="I3" s="90" t="n">
        <x:v>-2.08</x:v>
      </x:c>
      <x:c r="J3" s="90" t="n">
        <x:v>2.918</x:v>
      </x:c>
      <x:c r="K3" s="90" t="n">
        <x:v>0</x:v>
      </x:c>
      <x:c r="L3" s="90" t="n">
        <x:v>0</x:v>
      </x:c>
      <x:c r="M3" s="90" t="n">
        <x:v>0</x:v>
      </x:c>
      <x:c r="N3" s="90" t="n">
        <x:v>7.625</x:v>
      </x:c>
      <x:c r="O3" s="90" t="n">
        <x:v>22.5</x:v>
      </x:c>
      <x:c r="P3" s="90" t="n">
        <x:v>0.2</x:v>
      </x:c>
      <x:c r="Q3" s="90" t="n">
        <x:v>0.2</x:v>
      </x:c>
      <x:c r="R3" s="90" t="n">
        <x:v>0.3</x:v>
      </x:c>
      <x:c r="S3" s="40" t="n">
        <x:v>1</x:v>
      </x:c>
      <x:c r="T3" s="40" t="str">
        <x:v>white</x:v>
      </x:c>
      <x:c r="U3" s="40" t="str">
        <x:v>spec-derived</x:v>
      </x:c>
      <x:c r="V3" s="91" t="b">
        <x:v>1</x:v>
      </x:c>
      <x:c r="W3" s="92" t="str">
        <x:v>左圆内边界；按左圆逆时针行驶顺序编号。</x:v>
      </x:c>
    </x:row>
    <x:row r="4">
      <x:c r="A4" s="89" t="n">
        <x:v>3</x:v>
      </x:c>
      <x:c r="B4" s="40" t="str">
        <x:v>L_IN_03</x:v>
      </x:c>
      <x:c r="C4" s="40" t="str">
        <x:v>left_inner</x:v>
      </x:c>
      <x:c r="D4" s="40" t="str">
        <x:v>left</x:v>
      </x:c>
      <x:c r="E4" s="40" t="str">
        <x:v>inner</x:v>
      </x:c>
      <x:c r="F4" s="40" t="str">
        <x:v>route</x:v>
      </x:c>
      <x:c r="G4" s="40" t="str">
        <x:v>red</x:v>
      </x:c>
      <x:c r="H4" s="40" t="str">
        <x:v>small_route</x:v>
      </x:c>
      <x:c r="I4" s="90" t="n">
        <x:v>-3.733</x:v>
      </x:c>
      <x:c r="J4" s="90" t="n">
        <x:v>5.392</x:v>
      </x:c>
      <x:c r="K4" s="90" t="n">
        <x:v>0</x:v>
      </x:c>
      <x:c r="L4" s="90" t="n">
        <x:v>0</x:v>
      </x:c>
      <x:c r="M4" s="90" t="n">
        <x:v>0</x:v>
      </x:c>
      <x:c r="N4" s="90" t="n">
        <x:v>7.625</x:v>
      </x:c>
      <x:c r="O4" s="90" t="n">
        <x:v>45</x:v>
      </x:c>
      <x:c r="P4" s="90" t="n">
        <x:v>0.2</x:v>
      </x:c>
      <x:c r="Q4" s="90" t="n">
        <x:v>0.2</x:v>
      </x:c>
      <x:c r="R4" s="90" t="n">
        <x:v>0.3</x:v>
      </x:c>
      <x:c r="S4" s="40" t="n">
        <x:v>1</x:v>
      </x:c>
      <x:c r="T4" s="40" t="str">
        <x:v>white</x:v>
      </x:c>
      <x:c r="U4" s="40" t="str">
        <x:v>spec-derived</x:v>
      </x:c>
      <x:c r="V4" s="91" t="b">
        <x:v>1</x:v>
      </x:c>
      <x:c r="W4" s="92" t="str">
        <x:v>左圆内边界；按左圆逆时针行驶顺序编号。</x:v>
      </x:c>
    </x:row>
    <x:row r="5">
      <x:c r="A5" s="89" t="n">
        <x:v>4</x:v>
      </x:c>
      <x:c r="B5" s="40" t="str">
        <x:v>L_IN_04</x:v>
      </x:c>
      <x:c r="C5" s="40" t="str">
        <x:v>left_inner</x:v>
      </x:c>
      <x:c r="D5" s="40" t="str">
        <x:v>left</x:v>
      </x:c>
      <x:c r="E5" s="40" t="str">
        <x:v>inner</x:v>
      </x:c>
      <x:c r="F5" s="40" t="str">
        <x:v>route</x:v>
      </x:c>
      <x:c r="G5" s="40" t="str">
        <x:v>red</x:v>
      </x:c>
      <x:c r="H5" s="40" t="str">
        <x:v>small_route</x:v>
      </x:c>
      <x:c r="I5" s="90" t="n">
        <x:v>-6.207</x:v>
      </x:c>
      <x:c r="J5" s="90" t="n">
        <x:v>7.045</x:v>
      </x:c>
      <x:c r="K5" s="90" t="n">
        <x:v>0</x:v>
      </x:c>
      <x:c r="L5" s="90" t="n">
        <x:v>0</x:v>
      </x:c>
      <x:c r="M5" s="90" t="n">
        <x:v>0</x:v>
      </x:c>
      <x:c r="N5" s="90" t="n">
        <x:v>7.625</x:v>
      </x:c>
      <x:c r="O5" s="90" t="n">
        <x:v>67.5</x:v>
      </x:c>
      <x:c r="P5" s="90" t="n">
        <x:v>0.2</x:v>
      </x:c>
      <x:c r="Q5" s="90" t="n">
        <x:v>0.2</x:v>
      </x:c>
      <x:c r="R5" s="90" t="n">
        <x:v>0.3</x:v>
      </x:c>
      <x:c r="S5" s="40" t="n">
        <x:v>1</x:v>
      </x:c>
      <x:c r="T5" s="40" t="str">
        <x:v>white</x:v>
      </x:c>
      <x:c r="U5" s="40" t="str">
        <x:v>spec-derived</x:v>
      </x:c>
      <x:c r="V5" s="91" t="b">
        <x:v>1</x:v>
      </x:c>
      <x:c r="W5" s="92" t="str">
        <x:v>左圆内边界；按左圆逆时针行驶顺序编号。</x:v>
      </x:c>
    </x:row>
    <x:row r="6">
      <x:c r="A6" s="89" t="n">
        <x:v>5</x:v>
      </x:c>
      <x:c r="B6" s="40" t="str">
        <x:v>L_IN_05</x:v>
      </x:c>
      <x:c r="C6" s="40" t="str">
        <x:v>left_inner</x:v>
      </x:c>
      <x:c r="D6" s="40" t="str">
        <x:v>left</x:v>
      </x:c>
      <x:c r="E6" s="40" t="str">
        <x:v>inner</x:v>
      </x:c>
      <x:c r="F6" s="40" t="str">
        <x:v>route</x:v>
      </x:c>
      <x:c r="G6" s="40" t="str">
        <x:v>red</x:v>
      </x:c>
      <x:c r="H6" s="40" t="str">
        <x:v>small_route</x:v>
      </x:c>
      <x:c r="I6" s="90" t="n">
        <x:v>-9.125</x:v>
      </x:c>
      <x:c r="J6" s="90" t="n">
        <x:v>7.625</x:v>
      </x:c>
      <x:c r="K6" s="90" t="n">
        <x:v>0</x:v>
      </x:c>
      <x:c r="L6" s="90" t="n">
        <x:v>0</x:v>
      </x:c>
      <x:c r="M6" s="90" t="n">
        <x:v>0</x:v>
      </x:c>
      <x:c r="N6" s="90" t="n">
        <x:v>7.625</x:v>
      </x:c>
      <x:c r="O6" s="90" t="n">
        <x:v>90</x:v>
      </x:c>
      <x:c r="P6" s="90" t="n">
        <x:v>0.2</x:v>
      </x:c>
      <x:c r="Q6" s="90" t="n">
        <x:v>0.2</x:v>
      </x:c>
      <x:c r="R6" s="90" t="n">
        <x:v>0.3</x:v>
      </x:c>
      <x:c r="S6" s="40" t="n">
        <x:v>1</x:v>
      </x:c>
      <x:c r="T6" s="40" t="str">
        <x:v>white</x:v>
      </x:c>
      <x:c r="U6" s="40" t="str">
        <x:v>spec-derived</x:v>
      </x:c>
      <x:c r="V6" s="91" t="b">
        <x:v>1</x:v>
      </x:c>
      <x:c r="W6" s="92" t="str">
        <x:v>左圆内边界；按左圆逆时针行驶顺序编号。</x:v>
      </x:c>
    </x:row>
    <x:row r="7">
      <x:c r="A7" s="89" t="n">
        <x:v>6</x:v>
      </x:c>
      <x:c r="B7" s="40" t="str">
        <x:v>L_IN_06</x:v>
      </x:c>
      <x:c r="C7" s="40" t="str">
        <x:v>left_inner</x:v>
      </x:c>
      <x:c r="D7" s="40" t="str">
        <x:v>left</x:v>
      </x:c>
      <x:c r="E7" s="40" t="str">
        <x:v>inner</x:v>
      </x:c>
      <x:c r="F7" s="40" t="str">
        <x:v>route</x:v>
      </x:c>
      <x:c r="G7" s="40" t="str">
        <x:v>red</x:v>
      </x:c>
      <x:c r="H7" s="40" t="str">
        <x:v>small_route</x:v>
      </x:c>
      <x:c r="I7" s="90" t="n">
        <x:v>-12.043</x:v>
      </x:c>
      <x:c r="J7" s="90" t="n">
        <x:v>7.045</x:v>
      </x:c>
      <x:c r="K7" s="90" t="n">
        <x:v>0</x:v>
      </x:c>
      <x:c r="L7" s="90" t="n">
        <x:v>0</x:v>
      </x:c>
      <x:c r="M7" s="90" t="n">
        <x:v>0</x:v>
      </x:c>
      <x:c r="N7" s="90" t="n">
        <x:v>7.625</x:v>
      </x:c>
      <x:c r="O7" s="90" t="n">
        <x:v>112.5</x:v>
      </x:c>
      <x:c r="P7" s="90" t="n">
        <x:v>0.2</x:v>
      </x:c>
      <x:c r="Q7" s="90" t="n">
        <x:v>0.2</x:v>
      </x:c>
      <x:c r="R7" s="90" t="n">
        <x:v>0.3</x:v>
      </x:c>
      <x:c r="S7" s="40" t="n">
        <x:v>1</x:v>
      </x:c>
      <x:c r="T7" s="40" t="str">
        <x:v>white</x:v>
      </x:c>
      <x:c r="U7" s="40" t="str">
        <x:v>spec-derived</x:v>
      </x:c>
      <x:c r="V7" s="91" t="b">
        <x:v>1</x:v>
      </x:c>
      <x:c r="W7" s="92" t="str">
        <x:v>左圆内边界；按左圆逆时针行驶顺序编号。</x:v>
      </x:c>
    </x:row>
    <x:row r="8">
      <x:c r="A8" s="89" t="n">
        <x:v>7</x:v>
      </x:c>
      <x:c r="B8" s="40" t="str">
        <x:v>L_IN_07</x:v>
      </x:c>
      <x:c r="C8" s="40" t="str">
        <x:v>left_inner</x:v>
      </x:c>
      <x:c r="D8" s="40" t="str">
        <x:v>left</x:v>
      </x:c>
      <x:c r="E8" s="40" t="str">
        <x:v>inner</x:v>
      </x:c>
      <x:c r="F8" s="40" t="str">
        <x:v>route</x:v>
      </x:c>
      <x:c r="G8" s="40" t="str">
        <x:v>red</x:v>
      </x:c>
      <x:c r="H8" s="40" t="str">
        <x:v>small_route</x:v>
      </x:c>
      <x:c r="I8" s="90" t="n">
        <x:v>-14.517</x:v>
      </x:c>
      <x:c r="J8" s="90" t="n">
        <x:v>5.392</x:v>
      </x:c>
      <x:c r="K8" s="90" t="n">
        <x:v>0</x:v>
      </x:c>
      <x:c r="L8" s="90" t="n">
        <x:v>0</x:v>
      </x:c>
      <x:c r="M8" s="90" t="n">
        <x:v>0</x:v>
      </x:c>
      <x:c r="N8" s="90" t="n">
        <x:v>7.625</x:v>
      </x:c>
      <x:c r="O8" s="90" t="n">
        <x:v>135</x:v>
      </x:c>
      <x:c r="P8" s="90" t="n">
        <x:v>0.2</x:v>
      </x:c>
      <x:c r="Q8" s="90" t="n">
        <x:v>0.2</x:v>
      </x:c>
      <x:c r="R8" s="90" t="n">
        <x:v>0.3</x:v>
      </x:c>
      <x:c r="S8" s="40" t="n">
        <x:v>1</x:v>
      </x:c>
      <x:c r="T8" s="40" t="str">
        <x:v>white</x:v>
      </x:c>
      <x:c r="U8" s="40" t="str">
        <x:v>spec-derived</x:v>
      </x:c>
      <x:c r="V8" s="91" t="b">
        <x:v>1</x:v>
      </x:c>
      <x:c r="W8" s="92" t="str">
        <x:v>左圆内边界；按左圆逆时针行驶顺序编号。</x:v>
      </x:c>
    </x:row>
    <x:row r="9">
      <x:c r="A9" s="89" t="n">
        <x:v>8</x:v>
      </x:c>
      <x:c r="B9" s="40" t="str">
        <x:v>L_IN_08</x:v>
      </x:c>
      <x:c r="C9" s="40" t="str">
        <x:v>left_inner</x:v>
      </x:c>
      <x:c r="D9" s="40" t="str">
        <x:v>left</x:v>
      </x:c>
      <x:c r="E9" s="40" t="str">
        <x:v>inner</x:v>
      </x:c>
      <x:c r="F9" s="40" t="str">
        <x:v>route</x:v>
      </x:c>
      <x:c r="G9" s="40" t="str">
        <x:v>red</x:v>
      </x:c>
      <x:c r="H9" s="40" t="str">
        <x:v>small_route</x:v>
      </x:c>
      <x:c r="I9" s="90" t="n">
        <x:v>-16.17</x:v>
      </x:c>
      <x:c r="J9" s="90" t="n">
        <x:v>2.918</x:v>
      </x:c>
      <x:c r="K9" s="90" t="n">
        <x:v>0</x:v>
      </x:c>
      <x:c r="L9" s="90" t="n">
        <x:v>0</x:v>
      </x:c>
      <x:c r="M9" s="90" t="n">
        <x:v>0</x:v>
      </x:c>
      <x:c r="N9" s="90" t="n">
        <x:v>7.625</x:v>
      </x:c>
      <x:c r="O9" s="90" t="n">
        <x:v>157.5</x:v>
      </x:c>
      <x:c r="P9" s="90" t="n">
        <x:v>0.2</x:v>
      </x:c>
      <x:c r="Q9" s="90" t="n">
        <x:v>0.2</x:v>
      </x:c>
      <x:c r="R9" s="90" t="n">
        <x:v>0.3</x:v>
      </x:c>
      <x:c r="S9" s="40" t="n">
        <x:v>1</x:v>
      </x:c>
      <x:c r="T9" s="40" t="str">
        <x:v>white</x:v>
      </x:c>
      <x:c r="U9" s="40" t="str">
        <x:v>spec-derived</x:v>
      </x:c>
      <x:c r="V9" s="91" t="b">
        <x:v>1</x:v>
      </x:c>
      <x:c r="W9" s="92" t="str">
        <x:v>左圆内边界；按左圆逆时针行驶顺序编号。</x:v>
      </x:c>
    </x:row>
    <x:row r="10">
      <x:c r="A10" s="89" t="n">
        <x:v>9</x:v>
      </x:c>
      <x:c r="B10" s="40" t="str">
        <x:v>L_IN_09</x:v>
      </x:c>
      <x:c r="C10" s="40" t="str">
        <x:v>left_inner</x:v>
      </x:c>
      <x:c r="D10" s="40" t="str">
        <x:v>left</x:v>
      </x:c>
      <x:c r="E10" s="40" t="str">
        <x:v>inner</x:v>
      </x:c>
      <x:c r="F10" s="40" t="str">
        <x:v>route</x:v>
      </x:c>
      <x:c r="G10" s="40" t="str">
        <x:v>red</x:v>
      </x:c>
      <x:c r="H10" s="40" t="str">
        <x:v>small_route</x:v>
      </x:c>
      <x:c r="I10" s="90" t="n">
        <x:v>-16.75</x:v>
      </x:c>
      <x:c r="J10" s="90" t="n">
        <x:v>0</x:v>
      </x:c>
      <x:c r="K10" s="90" t="n">
        <x:v>0</x:v>
      </x:c>
      <x:c r="L10" s="90" t="n">
        <x:v>0</x:v>
      </x:c>
      <x:c r="M10" s="90" t="n">
        <x:v>0</x:v>
      </x:c>
      <x:c r="N10" s="90" t="n">
        <x:v>7.625</x:v>
      </x:c>
      <x:c r="O10" s="90" t="n">
        <x:v>180</x:v>
      </x:c>
      <x:c r="P10" s="90" t="n">
        <x:v>0.2</x:v>
      </x:c>
      <x:c r="Q10" s="90" t="n">
        <x:v>0.2</x:v>
      </x:c>
      <x:c r="R10" s="90" t="n">
        <x:v>0.3</x:v>
      </x:c>
      <x:c r="S10" s="40" t="n">
        <x:v>1</x:v>
      </x:c>
      <x:c r="T10" s="40" t="str">
        <x:v>white</x:v>
      </x:c>
      <x:c r="U10" s="40" t="str">
        <x:v>spec-derived</x:v>
      </x:c>
      <x:c r="V10" s="91" t="b">
        <x:v>1</x:v>
      </x:c>
      <x:c r="W10" s="92" t="str">
        <x:v>左圆内边界；按左圆逆时针行驶顺序编号。</x:v>
      </x:c>
    </x:row>
    <x:row r="11">
      <x:c r="A11" s="89" t="n">
        <x:v>10</x:v>
      </x:c>
      <x:c r="B11" s="40" t="str">
        <x:v>L_IN_10</x:v>
      </x:c>
      <x:c r="C11" s="40" t="str">
        <x:v>left_inner</x:v>
      </x:c>
      <x:c r="D11" s="40" t="str">
        <x:v>left</x:v>
      </x:c>
      <x:c r="E11" s="40" t="str">
        <x:v>inner</x:v>
      </x:c>
      <x:c r="F11" s="40" t="str">
        <x:v>route</x:v>
      </x:c>
      <x:c r="G11" s="40" t="str">
        <x:v>red</x:v>
      </x:c>
      <x:c r="H11" s="40" t="str">
        <x:v>small_route</x:v>
      </x:c>
      <x:c r="I11" s="90" t="n">
        <x:v>-16.17</x:v>
      </x:c>
      <x:c r="J11" s="90" t="n">
        <x:v>-2.918</x:v>
      </x:c>
      <x:c r="K11" s="90" t="n">
        <x:v>0</x:v>
      </x:c>
      <x:c r="L11" s="90" t="n">
        <x:v>0</x:v>
      </x:c>
      <x:c r="M11" s="90" t="n">
        <x:v>0</x:v>
      </x:c>
      <x:c r="N11" s="90" t="n">
        <x:v>7.625</x:v>
      </x:c>
      <x:c r="O11" s="90" t="n">
        <x:v>202.5</x:v>
      </x:c>
      <x:c r="P11" s="90" t="n">
        <x:v>0.2</x:v>
      </x:c>
      <x:c r="Q11" s="90" t="n">
        <x:v>0.2</x:v>
      </x:c>
      <x:c r="R11" s="90" t="n">
        <x:v>0.3</x:v>
      </x:c>
      <x:c r="S11" s="40" t="n">
        <x:v>1</x:v>
      </x:c>
      <x:c r="T11" s="40" t="str">
        <x:v>white</x:v>
      </x:c>
      <x:c r="U11" s="40" t="str">
        <x:v>spec-derived</x:v>
      </x:c>
      <x:c r="V11" s="91" t="b">
        <x:v>1</x:v>
      </x:c>
      <x:c r="W11" s="92" t="str">
        <x:v>左圆内边界；按左圆逆时针行驶顺序编号。</x:v>
      </x:c>
    </x:row>
    <x:row r="12">
      <x:c r="A12" s="89" t="n">
        <x:v>11</x:v>
      </x:c>
      <x:c r="B12" s="40" t="str">
        <x:v>L_IN_11</x:v>
      </x:c>
      <x:c r="C12" s="40" t="str">
        <x:v>left_inner</x:v>
      </x:c>
      <x:c r="D12" s="40" t="str">
        <x:v>left</x:v>
      </x:c>
      <x:c r="E12" s="40" t="str">
        <x:v>inner</x:v>
      </x:c>
      <x:c r="F12" s="40" t="str">
        <x:v>route</x:v>
      </x:c>
      <x:c r="G12" s="40" t="str">
        <x:v>red</x:v>
      </x:c>
      <x:c r="H12" s="40" t="str">
        <x:v>small_route</x:v>
      </x:c>
      <x:c r="I12" s="90" t="n">
        <x:v>-14.517</x:v>
      </x:c>
      <x:c r="J12" s="90" t="n">
        <x:v>-5.392</x:v>
      </x:c>
      <x:c r="K12" s="90" t="n">
        <x:v>0</x:v>
      </x:c>
      <x:c r="L12" s="90" t="n">
        <x:v>0</x:v>
      </x:c>
      <x:c r="M12" s="90" t="n">
        <x:v>0</x:v>
      </x:c>
      <x:c r="N12" s="90" t="n">
        <x:v>7.625</x:v>
      </x:c>
      <x:c r="O12" s="90" t="n">
        <x:v>225</x:v>
      </x:c>
      <x:c r="P12" s="90" t="n">
        <x:v>0.2</x:v>
      </x:c>
      <x:c r="Q12" s="90" t="n">
        <x:v>0.2</x:v>
      </x:c>
      <x:c r="R12" s="90" t="n">
        <x:v>0.3</x:v>
      </x:c>
      <x:c r="S12" s="40" t="n">
        <x:v>1</x:v>
      </x:c>
      <x:c r="T12" s="40" t="str">
        <x:v>white</x:v>
      </x:c>
      <x:c r="U12" s="40" t="str">
        <x:v>spec-derived</x:v>
      </x:c>
      <x:c r="V12" s="91" t="b">
        <x:v>1</x:v>
      </x:c>
      <x:c r="W12" s="92" t="str">
        <x:v>左圆内边界；按左圆逆时针行驶顺序编号。</x:v>
      </x:c>
    </x:row>
    <x:row r="13">
      <x:c r="A13" s="89" t="n">
        <x:v>12</x:v>
      </x:c>
      <x:c r="B13" s="40" t="str">
        <x:v>L_IN_12</x:v>
      </x:c>
      <x:c r="C13" s="40" t="str">
        <x:v>left_inner</x:v>
      </x:c>
      <x:c r="D13" s="40" t="str">
        <x:v>left</x:v>
      </x:c>
      <x:c r="E13" s="40" t="str">
        <x:v>inner</x:v>
      </x:c>
      <x:c r="F13" s="40" t="str">
        <x:v>route</x:v>
      </x:c>
      <x:c r="G13" s="40" t="str">
        <x:v>red</x:v>
      </x:c>
      <x:c r="H13" s="40" t="str">
        <x:v>small_route</x:v>
      </x:c>
      <x:c r="I13" s="90" t="n">
        <x:v>-12.043</x:v>
      </x:c>
      <x:c r="J13" s="90" t="n">
        <x:v>-7.045</x:v>
      </x:c>
      <x:c r="K13" s="90" t="n">
        <x:v>0</x:v>
      </x:c>
      <x:c r="L13" s="90" t="n">
        <x:v>0</x:v>
      </x:c>
      <x:c r="M13" s="90" t="n">
        <x:v>0</x:v>
      </x:c>
      <x:c r="N13" s="90" t="n">
        <x:v>7.625</x:v>
      </x:c>
      <x:c r="O13" s="90" t="n">
        <x:v>247.5</x:v>
      </x:c>
      <x:c r="P13" s="90" t="n">
        <x:v>0.2</x:v>
      </x:c>
      <x:c r="Q13" s="90" t="n">
        <x:v>0.2</x:v>
      </x:c>
      <x:c r="R13" s="90" t="n">
        <x:v>0.3</x:v>
      </x:c>
      <x:c r="S13" s="40" t="n">
        <x:v>1</x:v>
      </x:c>
      <x:c r="T13" s="40" t="str">
        <x:v>white</x:v>
      </x:c>
      <x:c r="U13" s="40" t="str">
        <x:v>spec-derived</x:v>
      </x:c>
      <x:c r="V13" s="91" t="b">
        <x:v>1</x:v>
      </x:c>
      <x:c r="W13" s="92" t="str">
        <x:v>左圆内边界；按左圆逆时针行驶顺序编号。</x:v>
      </x:c>
    </x:row>
    <x:row r="14">
      <x:c r="A14" s="89" t="n">
        <x:v>13</x:v>
      </x:c>
      <x:c r="B14" s="40" t="str">
        <x:v>L_IN_13</x:v>
      </x:c>
      <x:c r="C14" s="40" t="str">
        <x:v>left_inner</x:v>
      </x:c>
      <x:c r="D14" s="40" t="str">
        <x:v>left</x:v>
      </x:c>
      <x:c r="E14" s="40" t="str">
        <x:v>inner</x:v>
      </x:c>
      <x:c r="F14" s="40" t="str">
        <x:v>route</x:v>
      </x:c>
      <x:c r="G14" s="40" t="str">
        <x:v>red</x:v>
      </x:c>
      <x:c r="H14" s="40" t="str">
        <x:v>small_route</x:v>
      </x:c>
      <x:c r="I14" s="90" t="n">
        <x:v>-9.125</x:v>
      </x:c>
      <x:c r="J14" s="90" t="n">
        <x:v>-7.625</x:v>
      </x:c>
      <x:c r="K14" s="90" t="n">
        <x:v>0</x:v>
      </x:c>
      <x:c r="L14" s="90" t="n">
        <x:v>0</x:v>
      </x:c>
      <x:c r="M14" s="90" t="n">
        <x:v>0</x:v>
      </x:c>
      <x:c r="N14" s="90" t="n">
        <x:v>7.625</x:v>
      </x:c>
      <x:c r="O14" s="90" t="n">
        <x:v>270</x:v>
      </x:c>
      <x:c r="P14" s="90" t="n">
        <x:v>0.2</x:v>
      </x:c>
      <x:c r="Q14" s="90" t="n">
        <x:v>0.2</x:v>
      </x:c>
      <x:c r="R14" s="90" t="n">
        <x:v>0.3</x:v>
      </x:c>
      <x:c r="S14" s="40" t="n">
        <x:v>1</x:v>
      </x:c>
      <x:c r="T14" s="40" t="str">
        <x:v>white</x:v>
      </x:c>
      <x:c r="U14" s="40" t="str">
        <x:v>spec-derived</x:v>
      </x:c>
      <x:c r="V14" s="91" t="b">
        <x:v>1</x:v>
      </x:c>
      <x:c r="W14" s="92" t="str">
        <x:v>左圆内边界；按左圆逆时针行驶顺序编号。</x:v>
      </x:c>
    </x:row>
    <x:row r="15">
      <x:c r="A15" s="89" t="n">
        <x:v>14</x:v>
      </x:c>
      <x:c r="B15" s="40" t="str">
        <x:v>L_IN_14</x:v>
      </x:c>
      <x:c r="C15" s="40" t="str">
        <x:v>left_inner</x:v>
      </x:c>
      <x:c r="D15" s="40" t="str">
        <x:v>left</x:v>
      </x:c>
      <x:c r="E15" s="40" t="str">
        <x:v>inner</x:v>
      </x:c>
      <x:c r="F15" s="40" t="str">
        <x:v>route</x:v>
      </x:c>
      <x:c r="G15" s="40" t="str">
        <x:v>red</x:v>
      </x:c>
      <x:c r="H15" s="40" t="str">
        <x:v>small_route</x:v>
      </x:c>
      <x:c r="I15" s="90" t="n">
        <x:v>-6.207</x:v>
      </x:c>
      <x:c r="J15" s="90" t="n">
        <x:v>-7.045</x:v>
      </x:c>
      <x:c r="K15" s="90" t="n">
        <x:v>0</x:v>
      </x:c>
      <x:c r="L15" s="90" t="n">
        <x:v>0</x:v>
      </x:c>
      <x:c r="M15" s="90" t="n">
        <x:v>0</x:v>
      </x:c>
      <x:c r="N15" s="90" t="n">
        <x:v>7.625</x:v>
      </x:c>
      <x:c r="O15" s="90" t="n">
        <x:v>292.5</x:v>
      </x:c>
      <x:c r="P15" s="90" t="n">
        <x:v>0.2</x:v>
      </x:c>
      <x:c r="Q15" s="90" t="n">
        <x:v>0.2</x:v>
      </x:c>
      <x:c r="R15" s="90" t="n">
        <x:v>0.3</x:v>
      </x:c>
      <x:c r="S15" s="40" t="n">
        <x:v>1</x:v>
      </x:c>
      <x:c r="T15" s="40" t="str">
        <x:v>white</x:v>
      </x:c>
      <x:c r="U15" s="40" t="str">
        <x:v>spec-derived</x:v>
      </x:c>
      <x:c r="V15" s="91" t="b">
        <x:v>1</x:v>
      </x:c>
      <x:c r="W15" s="92" t="str">
        <x:v>左圆内边界；按左圆逆时针行驶顺序编号。</x:v>
      </x:c>
    </x:row>
    <x:row r="16">
      <x:c r="A16" s="89" t="n">
        <x:v>15</x:v>
      </x:c>
      <x:c r="B16" s="40" t="str">
        <x:v>L_IN_15</x:v>
      </x:c>
      <x:c r="C16" s="40" t="str">
        <x:v>left_inner</x:v>
      </x:c>
      <x:c r="D16" s="40" t="str">
        <x:v>left</x:v>
      </x:c>
      <x:c r="E16" s="40" t="str">
        <x:v>inner</x:v>
      </x:c>
      <x:c r="F16" s="40" t="str">
        <x:v>route</x:v>
      </x:c>
      <x:c r="G16" s="40" t="str">
        <x:v>red</x:v>
      </x:c>
      <x:c r="H16" s="40" t="str">
        <x:v>small_route</x:v>
      </x:c>
      <x:c r="I16" s="90" t="n">
        <x:v>-3.733</x:v>
      </x:c>
      <x:c r="J16" s="90" t="n">
        <x:v>-5.392</x:v>
      </x:c>
      <x:c r="K16" s="90" t="n">
        <x:v>0</x:v>
      </x:c>
      <x:c r="L16" s="90" t="n">
        <x:v>0</x:v>
      </x:c>
      <x:c r="M16" s="90" t="n">
        <x:v>0</x:v>
      </x:c>
      <x:c r="N16" s="90" t="n">
        <x:v>7.625</x:v>
      </x:c>
      <x:c r="O16" s="90" t="n">
        <x:v>315</x:v>
      </x:c>
      <x:c r="P16" s="90" t="n">
        <x:v>0.2</x:v>
      </x:c>
      <x:c r="Q16" s="90" t="n">
        <x:v>0.2</x:v>
      </x:c>
      <x:c r="R16" s="90" t="n">
        <x:v>0.3</x:v>
      </x:c>
      <x:c r="S16" s="40" t="n">
        <x:v>1</x:v>
      </x:c>
      <x:c r="T16" s="40" t="str">
        <x:v>white</x:v>
      </x:c>
      <x:c r="U16" s="40" t="str">
        <x:v>spec-derived</x:v>
      </x:c>
      <x:c r="V16" s="91" t="b">
        <x:v>1</x:v>
      </x:c>
      <x:c r="W16" s="92" t="str">
        <x:v>左圆内边界；按左圆逆时针行驶顺序编号。</x:v>
      </x:c>
    </x:row>
    <x:row r="17">
      <x:c r="A17" s="89" t="n">
        <x:v>16</x:v>
      </x:c>
      <x:c r="B17" s="40" t="str">
        <x:v>L_IN_16</x:v>
      </x:c>
      <x:c r="C17" s="40" t="str">
        <x:v>left_inner</x:v>
      </x:c>
      <x:c r="D17" s="40" t="str">
        <x:v>left</x:v>
      </x:c>
      <x:c r="E17" s="40" t="str">
        <x:v>inner</x:v>
      </x:c>
      <x:c r="F17" s="40" t="str">
        <x:v>route</x:v>
      </x:c>
      <x:c r="G17" s="40" t="str">
        <x:v>red</x:v>
      </x:c>
      <x:c r="H17" s="40" t="str">
        <x:v>small_route</x:v>
      </x:c>
      <x:c r="I17" s="90" t="n">
        <x:v>-2.08</x:v>
      </x:c>
      <x:c r="J17" s="90" t="n">
        <x:v>-2.918</x:v>
      </x:c>
      <x:c r="K17" s="90" t="n">
        <x:v>0</x:v>
      </x:c>
      <x:c r="L17" s="90" t="n">
        <x:v>0</x:v>
      </x:c>
      <x:c r="M17" s="90" t="n">
        <x:v>0</x:v>
      </x:c>
      <x:c r="N17" s="90" t="n">
        <x:v>7.625</x:v>
      </x:c>
      <x:c r="O17" s="90" t="n">
        <x:v>337.5</x:v>
      </x:c>
      <x:c r="P17" s="90" t="n">
        <x:v>0.2</x:v>
      </x:c>
      <x:c r="Q17" s="90" t="n">
        <x:v>0.2</x:v>
      </x:c>
      <x:c r="R17" s="90" t="n">
        <x:v>0.3</x:v>
      </x:c>
      <x:c r="S17" s="40" t="n">
        <x:v>1</x:v>
      </x:c>
      <x:c r="T17" s="40" t="str">
        <x:v>white</x:v>
      </x:c>
      <x:c r="U17" s="40" t="str">
        <x:v>spec-derived</x:v>
      </x:c>
      <x:c r="V17" s="91" t="b">
        <x:v>1</x:v>
      </x:c>
      <x:c r="W17" s="92" t="str">
        <x:v>左圆内边界；按左圆逆时针行驶顺序编号。</x:v>
      </x:c>
    </x:row>
    <x:row r="18">
      <x:c r="A18" s="89" t="n">
        <x:v>17</x:v>
      </x:c>
      <x:c r="B18" s="40" t="str">
        <x:v>R_IN_01</x:v>
      </x:c>
      <x:c r="C18" s="40" t="str">
        <x:v>right_inner</x:v>
      </x:c>
      <x:c r="D18" s="40" t="str">
        <x:v>right</x:v>
      </x:c>
      <x:c r="E18" s="40" t="str">
        <x:v>inner</x:v>
      </x:c>
      <x:c r="F18" s="40" t="str">
        <x:v>route</x:v>
      </x:c>
      <x:c r="G18" s="40" t="str">
        <x:v>blue</x:v>
      </x:c>
      <x:c r="H18" s="40" t="str">
        <x:v>small_route</x:v>
      </x:c>
      <x:c r="I18" s="90" t="n">
        <x:v>1.5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7.625</x:v>
      </x:c>
      <x:c r="O18" s="90" t="n">
        <x:v>180</x:v>
      </x:c>
      <x:c r="P18" s="90" t="n">
        <x:v>0.2</x:v>
      </x:c>
      <x:c r="Q18" s="90" t="n">
        <x:v>0.2</x:v>
      </x:c>
      <x:c r="R18" s="90" t="n">
        <x:v>0.3</x:v>
      </x:c>
      <x:c r="S18" s="40" t="n">
        <x:v>1</x:v>
      </x:c>
      <x:c r="T18" s="40" t="str">
        <x:v>white</x:v>
      </x:c>
      <x:c r="U18" s="40" t="str">
        <x:v>spec-derived</x:v>
      </x:c>
      <x:c r="V18" s="91" t="b">
        <x:v>1</x:v>
      </x:c>
      <x:c r="W18" s="92" t="str">
        <x:v>右圆内边界；按右圆顺时针行驶顺序编号。</x:v>
      </x:c>
    </x:row>
    <x:row r="19">
      <x:c r="A19" s="89" t="n">
        <x:v>18</x:v>
      </x:c>
      <x:c r="B19" s="40" t="str">
        <x:v>R_IN_02</x:v>
      </x:c>
      <x:c r="C19" s="40" t="str">
        <x:v>right_inner</x:v>
      </x:c>
      <x:c r="D19" s="40" t="str">
        <x:v>right</x:v>
      </x:c>
      <x:c r="E19" s="40" t="str">
        <x:v>inner</x:v>
      </x:c>
      <x:c r="F19" s="40" t="str">
        <x:v>route</x:v>
      </x:c>
      <x:c r="G19" s="40" t="str">
        <x:v>blue</x:v>
      </x:c>
      <x:c r="H19" s="40" t="str">
        <x:v>small_route</x:v>
      </x:c>
      <x:c r="I19" s="90" t="n">
        <x:v>2.08</x:v>
      </x:c>
      <x:c r="J19" s="90" t="n">
        <x:v>2.918</x:v>
      </x:c>
      <x:c r="K19" s="90" t="n">
        <x:v>0</x:v>
      </x:c>
      <x:c r="L19" s="90" t="n">
        <x:v>0</x:v>
      </x:c>
      <x:c r="M19" s="90" t="n">
        <x:v>0</x:v>
      </x:c>
      <x:c r="N19" s="90" t="n">
        <x:v>7.625</x:v>
      </x:c>
      <x:c r="O19" s="90" t="n">
        <x:v>157.5</x:v>
      </x:c>
      <x:c r="P19" s="90" t="n">
        <x:v>0.2</x:v>
      </x:c>
      <x:c r="Q19" s="90" t="n">
        <x:v>0.2</x:v>
      </x:c>
      <x:c r="R19" s="90" t="n">
        <x:v>0.3</x:v>
      </x:c>
      <x:c r="S19" s="40" t="n">
        <x:v>1</x:v>
      </x:c>
      <x:c r="T19" s="40" t="str">
        <x:v>white</x:v>
      </x:c>
      <x:c r="U19" s="40" t="str">
        <x:v>spec-derived</x:v>
      </x:c>
      <x:c r="V19" s="91" t="b">
        <x:v>1</x:v>
      </x:c>
      <x:c r="W19" s="92" t="str">
        <x:v>右圆内边界；按右圆顺时针行驶顺序编号。</x:v>
      </x:c>
    </x:row>
    <x:row r="20">
      <x:c r="A20" s="89" t="n">
        <x:v>19</x:v>
      </x:c>
      <x:c r="B20" s="40" t="str">
        <x:v>R_IN_03</x:v>
      </x:c>
      <x:c r="C20" s="40" t="str">
        <x:v>right_inner</x:v>
      </x:c>
      <x:c r="D20" s="40" t="str">
        <x:v>right</x:v>
      </x:c>
      <x:c r="E20" s="40" t="str">
        <x:v>inner</x:v>
      </x:c>
      <x:c r="F20" s="40" t="str">
        <x:v>route</x:v>
      </x:c>
      <x:c r="G20" s="40" t="str">
        <x:v>blue</x:v>
      </x:c>
      <x:c r="H20" s="40" t="str">
        <x:v>small_route</x:v>
      </x:c>
      <x:c r="I20" s="90" t="n">
        <x:v>3.733</x:v>
      </x:c>
      <x:c r="J20" s="90" t="n">
        <x:v>5.392</x:v>
      </x:c>
      <x:c r="K20" s="90" t="n">
        <x:v>0</x:v>
      </x:c>
      <x:c r="L20" s="90" t="n">
        <x:v>0</x:v>
      </x:c>
      <x:c r="M20" s="90" t="n">
        <x:v>0</x:v>
      </x:c>
      <x:c r="N20" s="90" t="n">
        <x:v>7.625</x:v>
      </x:c>
      <x:c r="O20" s="90" t="n">
        <x:v>135</x:v>
      </x:c>
      <x:c r="P20" s="90" t="n">
        <x:v>0.2</x:v>
      </x:c>
      <x:c r="Q20" s="90" t="n">
        <x:v>0.2</x:v>
      </x:c>
      <x:c r="R20" s="90" t="n">
        <x:v>0.3</x:v>
      </x:c>
      <x:c r="S20" s="40" t="n">
        <x:v>1</x:v>
      </x:c>
      <x:c r="T20" s="40" t="str">
        <x:v>white</x:v>
      </x:c>
      <x:c r="U20" s="40" t="str">
        <x:v>spec-derived</x:v>
      </x:c>
      <x:c r="V20" s="91" t="b">
        <x:v>1</x:v>
      </x:c>
      <x:c r="W20" s="92" t="str">
        <x:v>右圆内边界；按右圆顺时针行驶顺序编号。</x:v>
      </x:c>
    </x:row>
    <x:row r="21">
      <x:c r="A21" s="89" t="n">
        <x:v>20</x:v>
      </x:c>
      <x:c r="B21" s="40" t="str">
        <x:v>R_IN_04</x:v>
      </x:c>
      <x:c r="C21" s="40" t="str">
        <x:v>right_inner</x:v>
      </x:c>
      <x:c r="D21" s="40" t="str">
        <x:v>right</x:v>
      </x:c>
      <x:c r="E21" s="40" t="str">
        <x:v>inner</x:v>
      </x:c>
      <x:c r="F21" s="40" t="str">
        <x:v>route</x:v>
      </x:c>
      <x:c r="G21" s="40" t="str">
        <x:v>blue</x:v>
      </x:c>
      <x:c r="H21" s="40" t="str">
        <x:v>small_route</x:v>
      </x:c>
      <x:c r="I21" s="90" t="n">
        <x:v>6.207</x:v>
      </x:c>
      <x:c r="J21" s="90" t="n">
        <x:v>7.045</x:v>
      </x:c>
      <x:c r="K21" s="90" t="n">
        <x:v>0</x:v>
      </x:c>
      <x:c r="L21" s="90" t="n">
        <x:v>0</x:v>
      </x:c>
      <x:c r="M21" s="90" t="n">
        <x:v>0</x:v>
      </x:c>
      <x:c r="N21" s="90" t="n">
        <x:v>7.625</x:v>
      </x:c>
      <x:c r="O21" s="90" t="n">
        <x:v>112.5</x:v>
      </x:c>
      <x:c r="P21" s="90" t="n">
        <x:v>0.2</x:v>
      </x:c>
      <x:c r="Q21" s="90" t="n">
        <x:v>0.2</x:v>
      </x:c>
      <x:c r="R21" s="90" t="n">
        <x:v>0.3</x:v>
      </x:c>
      <x:c r="S21" s="40" t="n">
        <x:v>1</x:v>
      </x:c>
      <x:c r="T21" s="40" t="str">
        <x:v>white</x:v>
      </x:c>
      <x:c r="U21" s="40" t="str">
        <x:v>spec-derived</x:v>
      </x:c>
      <x:c r="V21" s="91" t="b">
        <x:v>1</x:v>
      </x:c>
      <x:c r="W21" s="92" t="str">
        <x:v>右圆内边界；按右圆顺时针行驶顺序编号。</x:v>
      </x:c>
    </x:row>
    <x:row r="22">
      <x:c r="A22" s="89" t="n">
        <x:v>21</x:v>
      </x:c>
      <x:c r="B22" s="40" t="str">
        <x:v>R_IN_05</x:v>
      </x:c>
      <x:c r="C22" s="40" t="str">
        <x:v>right_inner</x:v>
      </x:c>
      <x:c r="D22" s="40" t="str">
        <x:v>right</x:v>
      </x:c>
      <x:c r="E22" s="40" t="str">
        <x:v>inner</x:v>
      </x:c>
      <x:c r="F22" s="40" t="str">
        <x:v>route</x:v>
      </x:c>
      <x:c r="G22" s="40" t="str">
        <x:v>blue</x:v>
      </x:c>
      <x:c r="H22" s="40" t="str">
        <x:v>small_route</x:v>
      </x:c>
      <x:c r="I22" s="90" t="n">
        <x:v>9.125</x:v>
      </x:c>
      <x:c r="J22" s="90" t="n">
        <x:v>7.625</x:v>
      </x:c>
      <x:c r="K22" s="90" t="n">
        <x:v>0</x:v>
      </x:c>
      <x:c r="L22" s="90" t="n">
        <x:v>0</x:v>
      </x:c>
      <x:c r="M22" s="90" t="n">
        <x:v>0</x:v>
      </x:c>
      <x:c r="N22" s="90" t="n">
        <x:v>7.625</x:v>
      </x:c>
      <x:c r="O22" s="90" t="n">
        <x:v>90</x:v>
      </x:c>
      <x:c r="P22" s="90" t="n">
        <x:v>0.2</x:v>
      </x:c>
      <x:c r="Q22" s="90" t="n">
        <x:v>0.2</x:v>
      </x:c>
      <x:c r="R22" s="90" t="n">
        <x:v>0.3</x:v>
      </x:c>
      <x:c r="S22" s="40" t="n">
        <x:v>1</x:v>
      </x:c>
      <x:c r="T22" s="40" t="str">
        <x:v>white</x:v>
      </x:c>
      <x:c r="U22" s="40" t="str">
        <x:v>spec-derived</x:v>
      </x:c>
      <x:c r="V22" s="91" t="b">
        <x:v>1</x:v>
      </x:c>
      <x:c r="W22" s="92" t="str">
        <x:v>右圆内边界；按右圆顺时针行驶顺序编号。</x:v>
      </x:c>
    </x:row>
    <x:row r="23">
      <x:c r="A23" s="89" t="n">
        <x:v>22</x:v>
      </x:c>
      <x:c r="B23" s="40" t="str">
        <x:v>R_IN_06</x:v>
      </x:c>
      <x:c r="C23" s="40" t="str">
        <x:v>right_inner</x:v>
      </x:c>
      <x:c r="D23" s="40" t="str">
        <x:v>right</x:v>
      </x:c>
      <x:c r="E23" s="40" t="str">
        <x:v>inner</x:v>
      </x:c>
      <x:c r="F23" s="40" t="str">
        <x:v>route</x:v>
      </x:c>
      <x:c r="G23" s="40" t="str">
        <x:v>blue</x:v>
      </x:c>
      <x:c r="H23" s="40" t="str">
        <x:v>small_route</x:v>
      </x:c>
      <x:c r="I23" s="90" t="n">
        <x:v>12.043</x:v>
      </x:c>
      <x:c r="J23" s="90" t="n">
        <x:v>7.045</x:v>
      </x:c>
      <x:c r="K23" s="90" t="n">
        <x:v>0</x:v>
      </x:c>
      <x:c r="L23" s="90" t="n">
        <x:v>0</x:v>
      </x:c>
      <x:c r="M23" s="90" t="n">
        <x:v>0</x:v>
      </x:c>
      <x:c r="N23" s="90" t="n">
        <x:v>7.625</x:v>
      </x:c>
      <x:c r="O23" s="90" t="n">
        <x:v>67.5</x:v>
      </x:c>
      <x:c r="P23" s="90" t="n">
        <x:v>0.2</x:v>
      </x:c>
      <x:c r="Q23" s="90" t="n">
        <x:v>0.2</x:v>
      </x:c>
      <x:c r="R23" s="90" t="n">
        <x:v>0.3</x:v>
      </x:c>
      <x:c r="S23" s="40" t="n">
        <x:v>1</x:v>
      </x:c>
      <x:c r="T23" s="40" t="str">
        <x:v>white</x:v>
      </x:c>
      <x:c r="U23" s="40" t="str">
        <x:v>spec-derived</x:v>
      </x:c>
      <x:c r="V23" s="91" t="b">
        <x:v>1</x:v>
      </x:c>
      <x:c r="W23" s="92" t="str">
        <x:v>右圆内边界；按右圆顺时针行驶顺序编号。</x:v>
      </x:c>
    </x:row>
    <x:row r="24">
      <x:c r="A24" s="89" t="n">
        <x:v>23</x:v>
      </x:c>
      <x:c r="B24" s="40" t="str">
        <x:v>R_IN_07</x:v>
      </x:c>
      <x:c r="C24" s="40" t="str">
        <x:v>right_inner</x:v>
      </x:c>
      <x:c r="D24" s="40" t="str">
        <x:v>right</x:v>
      </x:c>
      <x:c r="E24" s="40" t="str">
        <x:v>inner</x:v>
      </x:c>
      <x:c r="F24" s="40" t="str">
        <x:v>route</x:v>
      </x:c>
      <x:c r="G24" s="40" t="str">
        <x:v>blue</x:v>
      </x:c>
      <x:c r="H24" s="40" t="str">
        <x:v>small_route</x:v>
      </x:c>
      <x:c r="I24" s="90" t="n">
        <x:v>14.517</x:v>
      </x:c>
      <x:c r="J24" s="90" t="n">
        <x:v>5.392</x:v>
      </x:c>
      <x:c r="K24" s="90" t="n">
        <x:v>0</x:v>
      </x:c>
      <x:c r="L24" s="90" t="n">
        <x:v>0</x:v>
      </x:c>
      <x:c r="M24" s="90" t="n">
        <x:v>0</x:v>
      </x:c>
      <x:c r="N24" s="90" t="n">
        <x:v>7.625</x:v>
      </x:c>
      <x:c r="O24" s="90" t="n">
        <x:v>45</x:v>
      </x:c>
      <x:c r="P24" s="90" t="n">
        <x:v>0.2</x:v>
      </x:c>
      <x:c r="Q24" s="90" t="n">
        <x:v>0.2</x:v>
      </x:c>
      <x:c r="R24" s="90" t="n">
        <x:v>0.3</x:v>
      </x:c>
      <x:c r="S24" s="40" t="n">
        <x:v>1</x:v>
      </x:c>
      <x:c r="T24" s="40" t="str">
        <x:v>white</x:v>
      </x:c>
      <x:c r="U24" s="40" t="str">
        <x:v>spec-derived</x:v>
      </x:c>
      <x:c r="V24" s="91" t="b">
        <x:v>1</x:v>
      </x:c>
      <x:c r="W24" s="92" t="str">
        <x:v>右圆内边界；按右圆顺时针行驶顺序编号。</x:v>
      </x:c>
    </x:row>
    <x:row r="25">
      <x:c r="A25" s="89" t="n">
        <x:v>24</x:v>
      </x:c>
      <x:c r="B25" s="40" t="str">
        <x:v>R_IN_08</x:v>
      </x:c>
      <x:c r="C25" s="40" t="str">
        <x:v>right_inner</x:v>
      </x:c>
      <x:c r="D25" s="40" t="str">
        <x:v>right</x:v>
      </x:c>
      <x:c r="E25" s="40" t="str">
        <x:v>inner</x:v>
      </x:c>
      <x:c r="F25" s="40" t="str">
        <x:v>route</x:v>
      </x:c>
      <x:c r="G25" s="40" t="str">
        <x:v>blue</x:v>
      </x:c>
      <x:c r="H25" s="40" t="str">
        <x:v>small_route</x:v>
      </x:c>
      <x:c r="I25" s="90" t="n">
        <x:v>16.17</x:v>
      </x:c>
      <x:c r="J25" s="90" t="n">
        <x:v>2.918</x:v>
      </x:c>
      <x:c r="K25" s="90" t="n">
        <x:v>0</x:v>
      </x:c>
      <x:c r="L25" s="90" t="n">
        <x:v>0</x:v>
      </x:c>
      <x:c r="M25" s="90" t="n">
        <x:v>0</x:v>
      </x:c>
      <x:c r="N25" s="90" t="n">
        <x:v>7.625</x:v>
      </x:c>
      <x:c r="O25" s="90" t="n">
        <x:v>22.5</x:v>
      </x:c>
      <x:c r="P25" s="90" t="n">
        <x:v>0.2</x:v>
      </x:c>
      <x:c r="Q25" s="90" t="n">
        <x:v>0.2</x:v>
      </x:c>
      <x:c r="R25" s="90" t="n">
        <x:v>0.3</x:v>
      </x:c>
      <x:c r="S25" s="40" t="n">
        <x:v>1</x:v>
      </x:c>
      <x:c r="T25" s="40" t="str">
        <x:v>white</x:v>
      </x:c>
      <x:c r="U25" s="40" t="str">
        <x:v>spec-derived</x:v>
      </x:c>
      <x:c r="V25" s="91" t="b">
        <x:v>1</x:v>
      </x:c>
      <x:c r="W25" s="92" t="str">
        <x:v>右圆内边界；按右圆顺时针行驶顺序编号。</x:v>
      </x:c>
    </x:row>
    <x:row r="26">
      <x:c r="A26" s="89" t="n">
        <x:v>25</x:v>
      </x:c>
      <x:c r="B26" s="40" t="str">
        <x:v>R_IN_09</x:v>
      </x:c>
      <x:c r="C26" s="40" t="str">
        <x:v>right_inner</x:v>
      </x:c>
      <x:c r="D26" s="40" t="str">
        <x:v>right</x:v>
      </x:c>
      <x:c r="E26" s="40" t="str">
        <x:v>inner</x:v>
      </x:c>
      <x:c r="F26" s="40" t="str">
        <x:v>route</x:v>
      </x:c>
      <x:c r="G26" s="40" t="str">
        <x:v>blue</x:v>
      </x:c>
      <x:c r="H26" s="40" t="str">
        <x:v>small_route</x:v>
      </x:c>
      <x:c r="I26" s="90" t="n">
        <x:v>16.75</x:v>
      </x:c>
      <x:c r="J26" s="90" t="n">
        <x:v>0</x:v>
      </x:c>
      <x:c r="K26" s="90" t="n">
        <x:v>0</x:v>
      </x:c>
      <x:c r="L26" s="90" t="n">
        <x:v>0</x:v>
      </x:c>
      <x:c r="M26" s="90" t="n">
        <x:v>0</x:v>
      </x:c>
      <x:c r="N26" s="90" t="n">
        <x:v>7.625</x:v>
      </x:c>
      <x:c r="O26" s="90" t="n">
        <x:v>0</x:v>
      </x:c>
      <x:c r="P26" s="90" t="n">
        <x:v>0.2</x:v>
      </x:c>
      <x:c r="Q26" s="90" t="n">
        <x:v>0.2</x:v>
      </x:c>
      <x:c r="R26" s="90" t="n">
        <x:v>0.3</x:v>
      </x:c>
      <x:c r="S26" s="40" t="n">
        <x:v>1</x:v>
      </x:c>
      <x:c r="T26" s="40" t="str">
        <x:v>white</x:v>
      </x:c>
      <x:c r="U26" s="40" t="str">
        <x:v>spec-derived</x:v>
      </x:c>
      <x:c r="V26" s="91" t="b">
        <x:v>1</x:v>
      </x:c>
      <x:c r="W26" s="92" t="str">
        <x:v>右圆内边界；按右圆顺时针行驶顺序编号。</x:v>
      </x:c>
    </x:row>
    <x:row r="27">
      <x:c r="A27" s="89" t="n">
        <x:v>26</x:v>
      </x:c>
      <x:c r="B27" s="40" t="str">
        <x:v>R_IN_10</x:v>
      </x:c>
      <x:c r="C27" s="40" t="str">
        <x:v>right_inner</x:v>
      </x:c>
      <x:c r="D27" s="40" t="str">
        <x:v>right</x:v>
      </x:c>
      <x:c r="E27" s="40" t="str">
        <x:v>inner</x:v>
      </x:c>
      <x:c r="F27" s="40" t="str">
        <x:v>route</x:v>
      </x:c>
      <x:c r="G27" s="40" t="str">
        <x:v>blue</x:v>
      </x:c>
      <x:c r="H27" s="40" t="str">
        <x:v>small_route</x:v>
      </x:c>
      <x:c r="I27" s="90" t="n">
        <x:v>16.17</x:v>
      </x:c>
      <x:c r="J27" s="90" t="n">
        <x:v>-2.918</x:v>
      </x:c>
      <x:c r="K27" s="90" t="n">
        <x:v>0</x:v>
      </x:c>
      <x:c r="L27" s="90" t="n">
        <x:v>0</x:v>
      </x:c>
      <x:c r="M27" s="90" t="n">
        <x:v>0</x:v>
      </x:c>
      <x:c r="N27" s="90" t="n">
        <x:v>7.625</x:v>
      </x:c>
      <x:c r="O27" s="90" t="n">
        <x:v>337.5</x:v>
      </x:c>
      <x:c r="P27" s="90" t="n">
        <x:v>0.2</x:v>
      </x:c>
      <x:c r="Q27" s="90" t="n">
        <x:v>0.2</x:v>
      </x:c>
      <x:c r="R27" s="90" t="n">
        <x:v>0.3</x:v>
      </x:c>
      <x:c r="S27" s="40" t="n">
        <x:v>1</x:v>
      </x:c>
      <x:c r="T27" s="40" t="str">
        <x:v>white</x:v>
      </x:c>
      <x:c r="U27" s="40" t="str">
        <x:v>spec-derived</x:v>
      </x:c>
      <x:c r="V27" s="91" t="b">
        <x:v>1</x:v>
      </x:c>
      <x:c r="W27" s="92" t="str">
        <x:v>右圆内边界；按右圆顺时针行驶顺序编号。</x:v>
      </x:c>
    </x:row>
    <x:row r="28">
      <x:c r="A28" s="89" t="n">
        <x:v>27</x:v>
      </x:c>
      <x:c r="B28" s="40" t="str">
        <x:v>R_IN_11</x:v>
      </x:c>
      <x:c r="C28" s="40" t="str">
        <x:v>right_inner</x:v>
      </x:c>
      <x:c r="D28" s="40" t="str">
        <x:v>right</x:v>
      </x:c>
      <x:c r="E28" s="40" t="str">
        <x:v>inner</x:v>
      </x:c>
      <x:c r="F28" s="40" t="str">
        <x:v>route</x:v>
      </x:c>
      <x:c r="G28" s="40" t="str">
        <x:v>blue</x:v>
      </x:c>
      <x:c r="H28" s="40" t="str">
        <x:v>small_route</x:v>
      </x:c>
      <x:c r="I28" s="90" t="n">
        <x:v>14.517</x:v>
      </x:c>
      <x:c r="J28" s="90" t="n">
        <x:v>-5.392</x:v>
      </x:c>
      <x:c r="K28" s="90" t="n">
        <x:v>0</x:v>
      </x:c>
      <x:c r="L28" s="90" t="n">
        <x:v>0</x:v>
      </x:c>
      <x:c r="M28" s="90" t="n">
        <x:v>0</x:v>
      </x:c>
      <x:c r="N28" s="90" t="n">
        <x:v>7.625</x:v>
      </x:c>
      <x:c r="O28" s="90" t="n">
        <x:v>315</x:v>
      </x:c>
      <x:c r="P28" s="90" t="n">
        <x:v>0.2</x:v>
      </x:c>
      <x:c r="Q28" s="90" t="n">
        <x:v>0.2</x:v>
      </x:c>
      <x:c r="R28" s="90" t="n">
        <x:v>0.3</x:v>
      </x:c>
      <x:c r="S28" s="40" t="n">
        <x:v>1</x:v>
      </x:c>
      <x:c r="T28" s="40" t="str">
        <x:v>white</x:v>
      </x:c>
      <x:c r="U28" s="40" t="str">
        <x:v>spec-derived</x:v>
      </x:c>
      <x:c r="V28" s="91" t="b">
        <x:v>1</x:v>
      </x:c>
      <x:c r="W28" s="92" t="str">
        <x:v>右圆内边界；按右圆顺时针行驶顺序编号。</x:v>
      </x:c>
    </x:row>
    <x:row r="29">
      <x:c r="A29" s="89" t="n">
        <x:v>28</x:v>
      </x:c>
      <x:c r="B29" s="40" t="str">
        <x:v>R_IN_12</x:v>
      </x:c>
      <x:c r="C29" s="40" t="str">
        <x:v>right_inner</x:v>
      </x:c>
      <x:c r="D29" s="40" t="str">
        <x:v>right</x:v>
      </x:c>
      <x:c r="E29" s="40" t="str">
        <x:v>inner</x:v>
      </x:c>
      <x:c r="F29" s="40" t="str">
        <x:v>route</x:v>
      </x:c>
      <x:c r="G29" s="40" t="str">
        <x:v>blue</x:v>
      </x:c>
      <x:c r="H29" s="40" t="str">
        <x:v>small_route</x:v>
      </x:c>
      <x:c r="I29" s="90" t="n">
        <x:v>12.043</x:v>
      </x:c>
      <x:c r="J29" s="90" t="n">
        <x:v>-7.045</x:v>
      </x:c>
      <x:c r="K29" s="90" t="n">
        <x:v>0</x:v>
      </x:c>
      <x:c r="L29" s="90" t="n">
        <x:v>0</x:v>
      </x:c>
      <x:c r="M29" s="90" t="n">
        <x:v>0</x:v>
      </x:c>
      <x:c r="N29" s="90" t="n">
        <x:v>7.625</x:v>
      </x:c>
      <x:c r="O29" s="90" t="n">
        <x:v>292.5</x:v>
      </x:c>
      <x:c r="P29" s="90" t="n">
        <x:v>0.2</x:v>
      </x:c>
      <x:c r="Q29" s="90" t="n">
        <x:v>0.2</x:v>
      </x:c>
      <x:c r="R29" s="90" t="n">
        <x:v>0.3</x:v>
      </x:c>
      <x:c r="S29" s="40" t="n">
        <x:v>1</x:v>
      </x:c>
      <x:c r="T29" s="40" t="str">
        <x:v>white</x:v>
      </x:c>
      <x:c r="U29" s="40" t="str">
        <x:v>spec-derived</x:v>
      </x:c>
      <x:c r="V29" s="91" t="b">
        <x:v>1</x:v>
      </x:c>
      <x:c r="W29" s="92" t="str">
        <x:v>右圆内边界；按右圆顺时针行驶顺序编号。</x:v>
      </x:c>
    </x:row>
    <x:row r="30">
      <x:c r="A30" s="89" t="n">
        <x:v>29</x:v>
      </x:c>
      <x:c r="B30" s="40" t="str">
        <x:v>R_IN_13</x:v>
      </x:c>
      <x:c r="C30" s="40" t="str">
        <x:v>right_inner</x:v>
      </x:c>
      <x:c r="D30" s="40" t="str">
        <x:v>right</x:v>
      </x:c>
      <x:c r="E30" s="40" t="str">
        <x:v>inner</x:v>
      </x:c>
      <x:c r="F30" s="40" t="str">
        <x:v>route</x:v>
      </x:c>
      <x:c r="G30" s="40" t="str">
        <x:v>blue</x:v>
      </x:c>
      <x:c r="H30" s="40" t="str">
        <x:v>small_route</x:v>
      </x:c>
      <x:c r="I30" s="90" t="n">
        <x:v>9.125</x:v>
      </x:c>
      <x:c r="J30" s="90" t="n">
        <x:v>-7.625</x:v>
      </x:c>
      <x:c r="K30" s="90" t="n">
        <x:v>0</x:v>
      </x:c>
      <x:c r="L30" s="90" t="n">
        <x:v>0</x:v>
      </x:c>
      <x:c r="M30" s="90" t="n">
        <x:v>0</x:v>
      </x:c>
      <x:c r="N30" s="90" t="n">
        <x:v>7.625</x:v>
      </x:c>
      <x:c r="O30" s="90" t="n">
        <x:v>270</x:v>
      </x:c>
      <x:c r="P30" s="90" t="n">
        <x:v>0.2</x:v>
      </x:c>
      <x:c r="Q30" s="90" t="n">
        <x:v>0.2</x:v>
      </x:c>
      <x:c r="R30" s="90" t="n">
        <x:v>0.3</x:v>
      </x:c>
      <x:c r="S30" s="40" t="n">
        <x:v>1</x:v>
      </x:c>
      <x:c r="T30" s="40" t="str">
        <x:v>white</x:v>
      </x:c>
      <x:c r="U30" s="40" t="str">
        <x:v>spec-derived</x:v>
      </x:c>
      <x:c r="V30" s="91" t="b">
        <x:v>1</x:v>
      </x:c>
      <x:c r="W30" s="92" t="str">
        <x:v>右圆内边界；按右圆顺时针行驶顺序编号。</x:v>
      </x:c>
    </x:row>
    <x:row r="31">
      <x:c r="A31" s="89" t="n">
        <x:v>30</x:v>
      </x:c>
      <x:c r="B31" s="40" t="str">
        <x:v>R_IN_14</x:v>
      </x:c>
      <x:c r="C31" s="40" t="str">
        <x:v>right_inner</x:v>
      </x:c>
      <x:c r="D31" s="40" t="str">
        <x:v>right</x:v>
      </x:c>
      <x:c r="E31" s="40" t="str">
        <x:v>inner</x:v>
      </x:c>
      <x:c r="F31" s="40" t="str">
        <x:v>route</x:v>
      </x:c>
      <x:c r="G31" s="40" t="str">
        <x:v>blue</x:v>
      </x:c>
      <x:c r="H31" s="40" t="str">
        <x:v>small_route</x:v>
      </x:c>
      <x:c r="I31" s="90" t="n">
        <x:v>6.207</x:v>
      </x:c>
      <x:c r="J31" s="90" t="n">
        <x:v>-7.045</x:v>
      </x:c>
      <x:c r="K31" s="90" t="n">
        <x:v>0</x:v>
      </x:c>
      <x:c r="L31" s="90" t="n">
        <x:v>0</x:v>
      </x:c>
      <x:c r="M31" s="90" t="n">
        <x:v>0</x:v>
      </x:c>
      <x:c r="N31" s="90" t="n">
        <x:v>7.625</x:v>
      </x:c>
      <x:c r="O31" s="90" t="n">
        <x:v>247.5</x:v>
      </x:c>
      <x:c r="P31" s="90" t="n">
        <x:v>0.2</x:v>
      </x:c>
      <x:c r="Q31" s="90" t="n">
        <x:v>0.2</x:v>
      </x:c>
      <x:c r="R31" s="90" t="n">
        <x:v>0.3</x:v>
      </x:c>
      <x:c r="S31" s="40" t="n">
        <x:v>1</x:v>
      </x:c>
      <x:c r="T31" s="40" t="str">
        <x:v>white</x:v>
      </x:c>
      <x:c r="U31" s="40" t="str">
        <x:v>spec-derived</x:v>
      </x:c>
      <x:c r="V31" s="91" t="b">
        <x:v>1</x:v>
      </x:c>
      <x:c r="W31" s="92" t="str">
        <x:v>右圆内边界；按右圆顺时针行驶顺序编号。</x:v>
      </x:c>
    </x:row>
    <x:row r="32">
      <x:c r="A32" s="89" t="n">
        <x:v>31</x:v>
      </x:c>
      <x:c r="B32" s="40" t="str">
        <x:v>R_IN_15</x:v>
      </x:c>
      <x:c r="C32" s="40" t="str">
        <x:v>right_inner</x:v>
      </x:c>
      <x:c r="D32" s="40" t="str">
        <x:v>right</x:v>
      </x:c>
      <x:c r="E32" s="40" t="str">
        <x:v>inner</x:v>
      </x:c>
      <x:c r="F32" s="40" t="str">
        <x:v>route</x:v>
      </x:c>
      <x:c r="G32" s="40" t="str">
        <x:v>blue</x:v>
      </x:c>
      <x:c r="H32" s="40" t="str">
        <x:v>small_route</x:v>
      </x:c>
      <x:c r="I32" s="90" t="n">
        <x:v>3.733</x:v>
      </x:c>
      <x:c r="J32" s="90" t="n">
        <x:v>-5.392</x:v>
      </x:c>
      <x:c r="K32" s="90" t="n">
        <x:v>0</x:v>
      </x:c>
      <x:c r="L32" s="90" t="n">
        <x:v>0</x:v>
      </x:c>
      <x:c r="M32" s="90" t="n">
        <x:v>0</x:v>
      </x:c>
      <x:c r="N32" s="90" t="n">
        <x:v>7.625</x:v>
      </x:c>
      <x:c r="O32" s="90" t="n">
        <x:v>225</x:v>
      </x:c>
      <x:c r="P32" s="90" t="n">
        <x:v>0.2</x:v>
      </x:c>
      <x:c r="Q32" s="90" t="n">
        <x:v>0.2</x:v>
      </x:c>
      <x:c r="R32" s="90" t="n">
        <x:v>0.3</x:v>
      </x:c>
      <x:c r="S32" s="40" t="n">
        <x:v>1</x:v>
      </x:c>
      <x:c r="T32" s="40" t="str">
        <x:v>white</x:v>
      </x:c>
      <x:c r="U32" s="40" t="str">
        <x:v>spec-derived</x:v>
      </x:c>
      <x:c r="V32" s="91" t="b">
        <x:v>1</x:v>
      </x:c>
      <x:c r="W32" s="92" t="str">
        <x:v>右圆内边界；按右圆顺时针行驶顺序编号。</x:v>
      </x:c>
    </x:row>
    <x:row r="33">
      <x:c r="A33" s="89" t="n">
        <x:v>32</x:v>
      </x:c>
      <x:c r="B33" s="40" t="str">
        <x:v>R_IN_16</x:v>
      </x:c>
      <x:c r="C33" s="40" t="str">
        <x:v>right_inner</x:v>
      </x:c>
      <x:c r="D33" s="40" t="str">
        <x:v>right</x:v>
      </x:c>
      <x:c r="E33" s="40" t="str">
        <x:v>inner</x:v>
      </x:c>
      <x:c r="F33" s="40" t="str">
        <x:v>route</x:v>
      </x:c>
      <x:c r="G33" s="40" t="str">
        <x:v>blue</x:v>
      </x:c>
      <x:c r="H33" s="40" t="str">
        <x:v>small_route</x:v>
      </x:c>
      <x:c r="I33" s="90" t="n">
        <x:v>2.08</x:v>
      </x:c>
      <x:c r="J33" s="90" t="n">
        <x:v>-2.918</x:v>
      </x:c>
      <x:c r="K33" s="90" t="n">
        <x:v>0</x:v>
      </x:c>
      <x:c r="L33" s="90" t="n">
        <x:v>0</x:v>
      </x:c>
      <x:c r="M33" s="90" t="n">
        <x:v>0</x:v>
      </x:c>
      <x:c r="N33" s="90" t="n">
        <x:v>7.625</x:v>
      </x:c>
      <x:c r="O33" s="90" t="n">
        <x:v>202.5</x:v>
      </x:c>
      <x:c r="P33" s="90" t="n">
        <x:v>0.2</x:v>
      </x:c>
      <x:c r="Q33" s="90" t="n">
        <x:v>0.2</x:v>
      </x:c>
      <x:c r="R33" s="90" t="n">
        <x:v>0.3</x:v>
      </x:c>
      <x:c r="S33" s="40" t="n">
        <x:v>1</x:v>
      </x:c>
      <x:c r="T33" s="40" t="str">
        <x:v>white</x:v>
      </x:c>
      <x:c r="U33" s="40" t="str">
        <x:v>spec-derived</x:v>
      </x:c>
      <x:c r="V33" s="91" t="b">
        <x:v>1</x:v>
      </x:c>
      <x:c r="W33" s="92" t="str">
        <x:v>右圆内边界；按右圆顺时针行驶顺序编号。</x:v>
      </x:c>
    </x:row>
    <x:row r="34">
      <x:c r="A34" s="89" t="n">
        <x:v>33</x:v>
      </x:c>
      <x:c r="B34" s="40" t="str">
        <x:v>L_OUT_01</x:v>
      </x:c>
      <x:c r="C34" s="40" t="str">
        <x:v>left_outer</x:v>
      </x:c>
      <x:c r="D34" s="40" t="str">
        <x:v>left</x:v>
      </x:c>
      <x:c r="E34" s="40" t="str">
        <x:v>outer</x:v>
      </x:c>
      <x:c r="F34" s="40" t="str">
        <x:v>route</x:v>
      </x:c>
      <x:c r="G34" s="40" t="str">
        <x:v>blue</x:v>
      </x:c>
      <x:c r="H34" s="40" t="str">
        <x:v>small_route</x:v>
      </x:c>
      <x:c r="I34" s="90" t="n">
        <x:v>-1.265</x:v>
      </x:c>
      <x:c r="J34" s="90" t="n">
        <x:v>7.15</x:v>
      </x:c>
      <x:c r="K34" s="90" t="n">
        <x:v>0</x:v>
      </x:c>
      <x:c r="L34" s="90" t="n">
        <x:v>0</x:v>
      </x:c>
      <x:c r="M34" s="90" t="n">
        <x:v>0</x:v>
      </x:c>
      <x:c r="N34" s="90" t="n">
        <x:v>10.625</x:v>
      </x:c>
      <x:c r="O34" s="90" t="n">
        <x:v>42.291</x:v>
      </x:c>
      <x:c r="P34" s="90" t="n">
        <x:v>0.2</x:v>
      </x:c>
      <x:c r="Q34" s="90" t="n">
        <x:v>0.2</x:v>
      </x:c>
      <x:c r="R34" s="90" t="n">
        <x:v>0.3</x:v>
      </x:c>
      <x:c r="S34" s="40" t="n">
        <x:v>1</x:v>
      </x:c>
      <x:c r="T34" s="40" t="str">
        <x:v>white</x:v>
      </x:c>
      <x:c r="U34" s="40" t="str">
        <x:v>derived-layout</x:v>
      </x:c>
      <x:c r="V34" s="91" t="b">
        <x:v>1</x:v>
      </x:c>
      <x:c r="W34" s="92" t="str">
        <x:v>左圆外边界可见大圆弧；13等分并在交点两端各内缩半个间隔。</x:v>
      </x:c>
    </x:row>
    <x:row r="35">
      <x:c r="A35" s="89" t="n">
        <x:v>34</x:v>
      </x:c>
      <x:c r="B35" s="40" t="str">
        <x:v>L_OUT_02</x:v>
      </x:c>
      <x:c r="C35" s="40" t="str">
        <x:v>left_outer</x:v>
      </x:c>
      <x:c r="D35" s="40" t="str">
        <x:v>left</x:v>
      </x:c>
      <x:c r="E35" s="40" t="str">
        <x:v>outer</x:v>
      </x:c>
      <x:c r="F35" s="40" t="str">
        <x:v>route</x:v>
      </x:c>
      <x:c r="G35" s="40" t="str">
        <x:v>blue</x:v>
      </x:c>
      <x:c r="H35" s="40" t="str">
        <x:v>small_route</x:v>
      </x:c>
      <x:c r="I35" s="90" t="n">
        <x:v>-4.675</x:v>
      </x:c>
      <x:c r="J35" s="90" t="n">
        <x:v>9.648</x:v>
      </x:c>
      <x:c r="K35" s="90" t="n">
        <x:v>0</x:v>
      </x:c>
      <x:c r="L35" s="90" t="n">
        <x:v>0</x:v>
      </x:c>
      <x:c r="M35" s="90" t="n">
        <x:v>0</x:v>
      </x:c>
      <x:c r="N35" s="90" t="n">
        <x:v>10.625</x:v>
      </x:c>
      <x:c r="O35" s="90" t="n">
        <x:v>65.243</x:v>
      </x:c>
      <x:c r="P35" s="90" t="n">
        <x:v>0.2</x:v>
      </x:c>
      <x:c r="Q35" s="90" t="n">
        <x:v>0.2</x:v>
      </x:c>
      <x:c r="R35" s="90" t="n">
        <x:v>0.3</x:v>
      </x:c>
      <x:c r="S35" s="40" t="n">
        <x:v>1</x:v>
      </x:c>
      <x:c r="T35" s="40" t="str">
        <x:v>white</x:v>
      </x:c>
      <x:c r="U35" s="40" t="str">
        <x:v>derived-layout</x:v>
      </x:c>
      <x:c r="V35" s="91" t="b">
        <x:v>1</x:v>
      </x:c>
      <x:c r="W35" s="92" t="str">
        <x:v>左圆外边界可见大圆弧；13等分并在交点两端各内缩半个间隔。</x:v>
      </x:c>
    </x:row>
    <x:row r="36">
      <x:c r="A36" s="89" t="n">
        <x:v>35</x:v>
      </x:c>
      <x:c r="B36" s="40" t="str">
        <x:v>L_OUT_03</x:v>
      </x:c>
      <x:c r="C36" s="40" t="str">
        <x:v>left_outer</x:v>
      </x:c>
      <x:c r="D36" s="40" t="str">
        <x:v>left</x:v>
      </x:c>
      <x:c r="E36" s="40" t="str">
        <x:v>outer</x:v>
      </x:c>
      <x:c r="F36" s="40" t="str">
        <x:v>route</x:v>
      </x:c>
      <x:c r="G36" s="40" t="str">
        <x:v>blue</x:v>
      </x:c>
      <x:c r="H36" s="40" t="str">
        <x:v>small_route</x:v>
      </x:c>
      <x:c r="I36" s="90" t="n">
        <x:v>-8.79</x:v>
      </x:c>
      <x:c r="J36" s="90" t="n">
        <x:v>10.62</x:v>
      </x:c>
      <x:c r="K36" s="90" t="n">
        <x:v>0</x:v>
      </x:c>
      <x:c r="L36" s="90" t="n">
        <x:v>0</x:v>
      </x:c>
      <x:c r="M36" s="90" t="n">
        <x:v>0</x:v>
      </x:c>
      <x:c r="N36" s="90" t="n">
        <x:v>10.625</x:v>
      </x:c>
      <x:c r="O36" s="90" t="n">
        <x:v>88.194</x:v>
      </x:c>
      <x:c r="P36" s="90" t="n">
        <x:v>0.2</x:v>
      </x:c>
      <x:c r="Q36" s="90" t="n">
        <x:v>0.2</x:v>
      </x:c>
      <x:c r="R36" s="90" t="n">
        <x:v>0.3</x:v>
      </x:c>
      <x:c r="S36" s="40" t="n">
        <x:v>1</x:v>
      </x:c>
      <x:c r="T36" s="40" t="str">
        <x:v>white</x:v>
      </x:c>
      <x:c r="U36" s="40" t="str">
        <x:v>derived-layout</x:v>
      </x:c>
      <x:c r="V36" s="91" t="b">
        <x:v>1</x:v>
      </x:c>
      <x:c r="W36" s="92" t="str">
        <x:v>左圆外边界可见大圆弧；13等分并在交点两端各内缩半个间隔。</x:v>
      </x:c>
    </x:row>
    <x:row r="37">
      <x:c r="A37" s="89" t="n">
        <x:v>36</x:v>
      </x:c>
      <x:c r="B37" s="40" t="str">
        <x:v>L_OUT_04</x:v>
      </x:c>
      <x:c r="C37" s="40" t="str">
        <x:v>left_outer</x:v>
      </x:c>
      <x:c r="D37" s="40" t="str">
        <x:v>left</x:v>
      </x:c>
      <x:c r="E37" s="40" t="str">
        <x:v>outer</x:v>
      </x:c>
      <x:c r="F37" s="40" t="str">
        <x:v>route</x:v>
      </x:c>
      <x:c r="G37" s="40" t="str">
        <x:v>blue</x:v>
      </x:c>
      <x:c r="H37" s="40" t="str">
        <x:v>small_route</x:v>
      </x:c>
      <x:c r="I37" s="90" t="n">
        <x:v>-12.958</x:v>
      </x:c>
      <x:c r="J37" s="90" t="n">
        <x:v>9.91</x:v>
      </x:c>
      <x:c r="K37" s="90" t="n">
        <x:v>0</x:v>
      </x:c>
      <x:c r="L37" s="90" t="n">
        <x:v>0</x:v>
      </x:c>
      <x:c r="M37" s="90" t="n">
        <x:v>0</x:v>
      </x:c>
      <x:c r="N37" s="90" t="n">
        <x:v>10.625</x:v>
      </x:c>
      <x:c r="O37" s="90" t="n">
        <x:v>111.146</x:v>
      </x:c>
      <x:c r="P37" s="90" t="n">
        <x:v>0.2</x:v>
      </x:c>
      <x:c r="Q37" s="90" t="n">
        <x:v>0.2</x:v>
      </x:c>
      <x:c r="R37" s="90" t="n">
        <x:v>0.3</x:v>
      </x:c>
      <x:c r="S37" s="40" t="n">
        <x:v>1</x:v>
      </x:c>
      <x:c r="T37" s="40" t="str">
        <x:v>white</x:v>
      </x:c>
      <x:c r="U37" s="40" t="str">
        <x:v>derived-layout</x:v>
      </x:c>
      <x:c r="V37" s="91" t="b">
        <x:v>1</x:v>
      </x:c>
      <x:c r="W37" s="92" t="str">
        <x:v>左圆外边界可见大圆弧；13等分并在交点两端各内缩半个间隔。</x:v>
      </x:c>
    </x:row>
    <x:row r="38">
      <x:c r="A38" s="89" t="n">
        <x:v>37</x:v>
      </x:c>
      <x:c r="B38" s="40" t="str">
        <x:v>L_OUT_05</x:v>
      </x:c>
      <x:c r="C38" s="40" t="str">
        <x:v>left_outer</x:v>
      </x:c>
      <x:c r="D38" s="40" t="str">
        <x:v>left</x:v>
      </x:c>
      <x:c r="E38" s="40" t="str">
        <x:v>outer</x:v>
      </x:c>
      <x:c r="F38" s="40" t="str">
        <x:v>route</x:v>
      </x:c>
      <x:c r="G38" s="40" t="str">
        <x:v>blue</x:v>
      </x:c>
      <x:c r="H38" s="40" t="str">
        <x:v>small_route</x:v>
      </x:c>
      <x:c r="I38" s="90" t="n">
        <x:v>-16.519</x:v>
      </x:c>
      <x:c r="J38" s="90" t="n">
        <x:v>7.63</x:v>
      </x:c>
      <x:c r="K38" s="90" t="n">
        <x:v>0</x:v>
      </x:c>
      <x:c r="L38" s="90" t="n">
        <x:v>0</x:v>
      </x:c>
      <x:c r="M38" s="90" t="n">
        <x:v>0</x:v>
      </x:c>
      <x:c r="N38" s="90" t="n">
        <x:v>10.625</x:v>
      </x:c>
      <x:c r="O38" s="90" t="n">
        <x:v>134.097</x:v>
      </x:c>
      <x:c r="P38" s="90" t="n">
        <x:v>0.2</x:v>
      </x:c>
      <x:c r="Q38" s="90" t="n">
        <x:v>0.2</x:v>
      </x:c>
      <x:c r="R38" s="90" t="n">
        <x:v>0.3</x:v>
      </x:c>
      <x:c r="S38" s="40" t="n">
        <x:v>1</x:v>
      </x:c>
      <x:c r="T38" s="40" t="str">
        <x:v>white</x:v>
      </x:c>
      <x:c r="U38" s="40" t="str">
        <x:v>derived-layout</x:v>
      </x:c>
      <x:c r="V38" s="91" t="b">
        <x:v>1</x:v>
      </x:c>
      <x:c r="W38" s="92" t="str">
        <x:v>左圆外边界可见大圆弧；13等分并在交点两端各内缩半个间隔。</x:v>
      </x:c>
    </x:row>
    <x:row r="39">
      <x:c r="A39" s="89" t="n">
        <x:v>38</x:v>
      </x:c>
      <x:c r="B39" s="40" t="str">
        <x:v>L_OUT_06</x:v>
      </x:c>
      <x:c r="C39" s="40" t="str">
        <x:v>left_outer</x:v>
      </x:c>
      <x:c r="D39" s="40" t="str">
        <x:v>left</x:v>
      </x:c>
      <x:c r="E39" s="40" t="str">
        <x:v>outer</x:v>
      </x:c>
      <x:c r="F39" s="40" t="str">
        <x:v>route</x:v>
      </x:c>
      <x:c r="G39" s="40" t="str">
        <x:v>blue</x:v>
      </x:c>
      <x:c r="H39" s="40" t="str">
        <x:v>small_route</x:v>
      </x:c>
      <x:c r="I39" s="90" t="n">
        <x:v>-18.909</x:v>
      </x:c>
      <x:c r="J39" s="90" t="n">
        <x:v>4.143</x:v>
      </x:c>
      <x:c r="K39" s="90" t="n">
        <x:v>0</x:v>
      </x:c>
      <x:c r="L39" s="90" t="n">
        <x:v>0</x:v>
      </x:c>
      <x:c r="M39" s="90" t="n">
        <x:v>0</x:v>
      </x:c>
      <x:c r="N39" s="90" t="n">
        <x:v>10.625</x:v>
      </x:c>
      <x:c r="O39" s="90" t="n">
        <x:v>157.049</x:v>
      </x:c>
      <x:c r="P39" s="90" t="n">
        <x:v>0.2</x:v>
      </x:c>
      <x:c r="Q39" s="90" t="n">
        <x:v>0.2</x:v>
      </x:c>
      <x:c r="R39" s="90" t="n">
        <x:v>0.3</x:v>
      </x:c>
      <x:c r="S39" s="40" t="n">
        <x:v>1</x:v>
      </x:c>
      <x:c r="T39" s="40" t="str">
        <x:v>white</x:v>
      </x:c>
      <x:c r="U39" s="40" t="str">
        <x:v>derived-layout</x:v>
      </x:c>
      <x:c r="V39" s="91" t="b">
        <x:v>1</x:v>
      </x:c>
      <x:c r="W39" s="92" t="str">
        <x:v>左圆外边界可见大圆弧；13等分并在交点两端各内缩半个间隔。</x:v>
      </x:c>
    </x:row>
    <x:row r="40">
      <x:c r="A40" s="89" t="n">
        <x:v>39</x:v>
      </x:c>
      <x:c r="B40" s="40" t="str">
        <x:v>L_OUT_07</x:v>
      </x:c>
      <x:c r="C40" s="40" t="str">
        <x:v>left_outer</x:v>
      </x:c>
      <x:c r="D40" s="40" t="str">
        <x:v>left</x:v>
      </x:c>
      <x:c r="E40" s="40" t="str">
        <x:v>outer</x:v>
      </x:c>
      <x:c r="F40" s="40" t="str">
        <x:v>route</x:v>
      </x:c>
      <x:c r="G40" s="40" t="str">
        <x:v>blue</x:v>
      </x:c>
      <x:c r="H40" s="40" t="str">
        <x:v>small_route</x:v>
      </x:c>
      <x:c r="I40" s="90" t="n">
        <x:v>-19.75</x:v>
      </x:c>
      <x:c r="J40" s="90" t="n">
        <x:v>0</x:v>
      </x:c>
      <x:c r="K40" s="90" t="n">
        <x:v>0</x:v>
      </x:c>
      <x:c r="L40" s="90" t="n">
        <x:v>0</x:v>
      </x:c>
      <x:c r="M40" s="90" t="n">
        <x:v>0</x:v>
      </x:c>
      <x:c r="N40" s="90" t="n">
        <x:v>10.625</x:v>
      </x:c>
      <x:c r="O40" s="90" t="n">
        <x:v>180</x:v>
      </x:c>
      <x:c r="P40" s="90" t="n">
        <x:v>0.2</x:v>
      </x:c>
      <x:c r="Q40" s="90" t="n">
        <x:v>0.2</x:v>
      </x:c>
      <x:c r="R40" s="90" t="n">
        <x:v>0.3</x:v>
      </x:c>
      <x:c r="S40" s="40" t="n">
        <x:v>1</x:v>
      </x:c>
      <x:c r="T40" s="40" t="str">
        <x:v>white</x:v>
      </x:c>
      <x:c r="U40" s="40" t="str">
        <x:v>derived-layout</x:v>
      </x:c>
      <x:c r="V40" s="91" t="b">
        <x:v>1</x:v>
      </x:c>
      <x:c r="W40" s="92" t="str">
        <x:v>左圆外边界可见大圆弧；13等分并在交点两端各内缩半个间隔。</x:v>
      </x:c>
    </x:row>
    <x:row r="41">
      <x:c r="A41" s="89" t="n">
        <x:v>40</x:v>
      </x:c>
      <x:c r="B41" s="40" t="str">
        <x:v>L_OUT_08</x:v>
      </x:c>
      <x:c r="C41" s="40" t="str">
        <x:v>left_outer</x:v>
      </x:c>
      <x:c r="D41" s="40" t="str">
        <x:v>left</x:v>
      </x:c>
      <x:c r="E41" s="40" t="str">
        <x:v>outer</x:v>
      </x:c>
      <x:c r="F41" s="40" t="str">
        <x:v>route</x:v>
      </x:c>
      <x:c r="G41" s="40" t="str">
        <x:v>blue</x:v>
      </x:c>
      <x:c r="H41" s="40" t="str">
        <x:v>small_route</x:v>
      </x:c>
      <x:c r="I41" s="90" t="n">
        <x:v>-18.909</x:v>
      </x:c>
      <x:c r="J41" s="90" t="n">
        <x:v>-4.143</x:v>
      </x:c>
      <x:c r="K41" s="90" t="n">
        <x:v>0</x:v>
      </x:c>
      <x:c r="L41" s="90" t="n">
        <x:v>0</x:v>
      </x:c>
      <x:c r="M41" s="90" t="n">
        <x:v>0</x:v>
      </x:c>
      <x:c r="N41" s="90" t="n">
        <x:v>10.625</x:v>
      </x:c>
      <x:c r="O41" s="90" t="n">
        <x:v>202.951</x:v>
      </x:c>
      <x:c r="P41" s="90" t="n">
        <x:v>0.2</x:v>
      </x:c>
      <x:c r="Q41" s="90" t="n">
        <x:v>0.2</x:v>
      </x:c>
      <x:c r="R41" s="90" t="n">
        <x:v>0.3</x:v>
      </x:c>
      <x:c r="S41" s="40" t="n">
        <x:v>1</x:v>
      </x:c>
      <x:c r="T41" s="40" t="str">
        <x:v>white</x:v>
      </x:c>
      <x:c r="U41" s="40" t="str">
        <x:v>derived-layout</x:v>
      </x:c>
      <x:c r="V41" s="91" t="b">
        <x:v>1</x:v>
      </x:c>
      <x:c r="W41" s="92" t="str">
        <x:v>左圆外边界可见大圆弧；13等分并在交点两端各内缩半个间隔。</x:v>
      </x:c>
    </x:row>
    <x:row r="42">
      <x:c r="A42" s="89" t="n">
        <x:v>41</x:v>
      </x:c>
      <x:c r="B42" s="40" t="str">
        <x:v>L_OUT_09</x:v>
      </x:c>
      <x:c r="C42" s="40" t="str">
        <x:v>left_outer</x:v>
      </x:c>
      <x:c r="D42" s="40" t="str">
        <x:v>left</x:v>
      </x:c>
      <x:c r="E42" s="40" t="str">
        <x:v>outer</x:v>
      </x:c>
      <x:c r="F42" s="40" t="str">
        <x:v>route</x:v>
      </x:c>
      <x:c r="G42" s="40" t="str">
        <x:v>blue</x:v>
      </x:c>
      <x:c r="H42" s="40" t="str">
        <x:v>small_route</x:v>
      </x:c>
      <x:c r="I42" s="90" t="n">
        <x:v>-16.519</x:v>
      </x:c>
      <x:c r="J42" s="90" t="n">
        <x:v>-7.63</x:v>
      </x:c>
      <x:c r="K42" s="90" t="n">
        <x:v>0</x:v>
      </x:c>
      <x:c r="L42" s="90" t="n">
        <x:v>0</x:v>
      </x:c>
      <x:c r="M42" s="90" t="n">
        <x:v>0</x:v>
      </x:c>
      <x:c r="N42" s="90" t="n">
        <x:v>10.625</x:v>
      </x:c>
      <x:c r="O42" s="90" t="n">
        <x:v>225.903</x:v>
      </x:c>
      <x:c r="P42" s="90" t="n">
        <x:v>0.2</x:v>
      </x:c>
      <x:c r="Q42" s="90" t="n">
        <x:v>0.2</x:v>
      </x:c>
      <x:c r="R42" s="90" t="n">
        <x:v>0.3</x:v>
      </x:c>
      <x:c r="S42" s="40" t="n">
        <x:v>1</x:v>
      </x:c>
      <x:c r="T42" s="40" t="str">
        <x:v>white</x:v>
      </x:c>
      <x:c r="U42" s="40" t="str">
        <x:v>derived-layout</x:v>
      </x:c>
      <x:c r="V42" s="91" t="b">
        <x:v>1</x:v>
      </x:c>
      <x:c r="W42" s="92" t="str">
        <x:v>左圆外边界可见大圆弧；13等分并在交点两端各内缩半个间隔。</x:v>
      </x:c>
    </x:row>
    <x:row r="43">
      <x:c r="A43" s="89" t="n">
        <x:v>42</x:v>
      </x:c>
      <x:c r="B43" s="40" t="str">
        <x:v>L_OUT_10</x:v>
      </x:c>
      <x:c r="C43" s="40" t="str">
        <x:v>left_outer</x:v>
      </x:c>
      <x:c r="D43" s="40" t="str">
        <x:v>left</x:v>
      </x:c>
      <x:c r="E43" s="40" t="str">
        <x:v>outer</x:v>
      </x:c>
      <x:c r="F43" s="40" t="str">
        <x:v>route</x:v>
      </x:c>
      <x:c r="G43" s="40" t="str">
        <x:v>blue</x:v>
      </x:c>
      <x:c r="H43" s="40" t="str">
        <x:v>small_route</x:v>
      </x:c>
      <x:c r="I43" s="90" t="n">
        <x:v>-12.958</x:v>
      </x:c>
      <x:c r="J43" s="90" t="n">
        <x:v>-9.91</x:v>
      </x:c>
      <x:c r="K43" s="90" t="n">
        <x:v>0</x:v>
      </x:c>
      <x:c r="L43" s="90" t="n">
        <x:v>0</x:v>
      </x:c>
      <x:c r="M43" s="90" t="n">
        <x:v>0</x:v>
      </x:c>
      <x:c r="N43" s="90" t="n">
        <x:v>10.625</x:v>
      </x:c>
      <x:c r="O43" s="90" t="n">
        <x:v>248.854</x:v>
      </x:c>
      <x:c r="P43" s="90" t="n">
        <x:v>0.2</x:v>
      </x:c>
      <x:c r="Q43" s="90" t="n">
        <x:v>0.2</x:v>
      </x:c>
      <x:c r="R43" s="90" t="n">
        <x:v>0.3</x:v>
      </x:c>
      <x:c r="S43" s="40" t="n">
        <x:v>1</x:v>
      </x:c>
      <x:c r="T43" s="40" t="str">
        <x:v>white</x:v>
      </x:c>
      <x:c r="U43" s="40" t="str">
        <x:v>derived-layout</x:v>
      </x:c>
      <x:c r="V43" s="91" t="b">
        <x:v>1</x:v>
      </x:c>
      <x:c r="W43" s="92" t="str">
        <x:v>左圆外边界可见大圆弧；13等分并在交点两端各内缩半个间隔。</x:v>
      </x:c>
    </x:row>
    <x:row r="44">
      <x:c r="A44" s="89" t="n">
        <x:v>43</x:v>
      </x:c>
      <x:c r="B44" s="40" t="str">
        <x:v>L_OUT_11</x:v>
      </x:c>
      <x:c r="C44" s="40" t="str">
        <x:v>left_outer</x:v>
      </x:c>
      <x:c r="D44" s="40" t="str">
        <x:v>left</x:v>
      </x:c>
      <x:c r="E44" s="40" t="str">
        <x:v>outer</x:v>
      </x:c>
      <x:c r="F44" s="40" t="str">
        <x:v>route</x:v>
      </x:c>
      <x:c r="G44" s="40" t="str">
        <x:v>blue</x:v>
      </x:c>
      <x:c r="H44" s="40" t="str">
        <x:v>small_route</x:v>
      </x:c>
      <x:c r="I44" s="90" t="n">
        <x:v>-8.79</x:v>
      </x:c>
      <x:c r="J44" s="90" t="n">
        <x:v>-10.62</x:v>
      </x:c>
      <x:c r="K44" s="90" t="n">
        <x:v>0</x:v>
      </x:c>
      <x:c r="L44" s="90" t="n">
        <x:v>0</x:v>
      </x:c>
      <x:c r="M44" s="90" t="n">
        <x:v>0</x:v>
      </x:c>
      <x:c r="N44" s="90" t="n">
        <x:v>10.625</x:v>
      </x:c>
      <x:c r="O44" s="90" t="n">
        <x:v>271.806</x:v>
      </x:c>
      <x:c r="P44" s="90" t="n">
        <x:v>0.2</x:v>
      </x:c>
      <x:c r="Q44" s="90" t="n">
        <x:v>0.2</x:v>
      </x:c>
      <x:c r="R44" s="90" t="n">
        <x:v>0.3</x:v>
      </x:c>
      <x:c r="S44" s="40" t="n">
        <x:v>1</x:v>
      </x:c>
      <x:c r="T44" s="40" t="str">
        <x:v>white</x:v>
      </x:c>
      <x:c r="U44" s="40" t="str">
        <x:v>derived-layout</x:v>
      </x:c>
      <x:c r="V44" s="91" t="b">
        <x:v>1</x:v>
      </x:c>
      <x:c r="W44" s="92" t="str">
        <x:v>左圆外边界可见大圆弧；13等分并在交点两端各内缩半个间隔。</x:v>
      </x:c>
    </x:row>
    <x:row r="45">
      <x:c r="A45" s="89" t="n">
        <x:v>44</x:v>
      </x:c>
      <x:c r="B45" s="40" t="str">
        <x:v>L_OUT_12</x:v>
      </x:c>
      <x:c r="C45" s="40" t="str">
        <x:v>left_outer</x:v>
      </x:c>
      <x:c r="D45" s="40" t="str">
        <x:v>left</x:v>
      </x:c>
      <x:c r="E45" s="40" t="str">
        <x:v>outer</x:v>
      </x:c>
      <x:c r="F45" s="40" t="str">
        <x:v>route</x:v>
      </x:c>
      <x:c r="G45" s="40" t="str">
        <x:v>blue</x:v>
      </x:c>
      <x:c r="H45" s="40" t="str">
        <x:v>small_route</x:v>
      </x:c>
      <x:c r="I45" s="90" t="n">
        <x:v>-4.675</x:v>
      </x:c>
      <x:c r="J45" s="90" t="n">
        <x:v>-9.648</x:v>
      </x:c>
      <x:c r="K45" s="90" t="n">
        <x:v>0</x:v>
      </x:c>
      <x:c r="L45" s="90" t="n">
        <x:v>0</x:v>
      </x:c>
      <x:c r="M45" s="90" t="n">
        <x:v>0</x:v>
      </x:c>
      <x:c r="N45" s="90" t="n">
        <x:v>10.625</x:v>
      </x:c>
      <x:c r="O45" s="90" t="n">
        <x:v>294.757</x:v>
      </x:c>
      <x:c r="P45" s="90" t="n">
        <x:v>0.2</x:v>
      </x:c>
      <x:c r="Q45" s="90" t="n">
        <x:v>0.2</x:v>
      </x:c>
      <x:c r="R45" s="90" t="n">
        <x:v>0.3</x:v>
      </x:c>
      <x:c r="S45" s="40" t="n">
        <x:v>1</x:v>
      </x:c>
      <x:c r="T45" s="40" t="str">
        <x:v>white</x:v>
      </x:c>
      <x:c r="U45" s="40" t="str">
        <x:v>derived-layout</x:v>
      </x:c>
      <x:c r="V45" s="91" t="b">
        <x:v>1</x:v>
      </x:c>
      <x:c r="W45" s="92" t="str">
        <x:v>左圆外边界可见大圆弧；13等分并在交点两端各内缩半个间隔。</x:v>
      </x:c>
    </x:row>
    <x:row r="46">
      <x:c r="A46" s="89" t="n">
        <x:v>45</x:v>
      </x:c>
      <x:c r="B46" s="40" t="str">
        <x:v>L_OUT_13</x:v>
      </x:c>
      <x:c r="C46" s="40" t="str">
        <x:v>left_outer</x:v>
      </x:c>
      <x:c r="D46" s="40" t="str">
        <x:v>left</x:v>
      </x:c>
      <x:c r="E46" s="40" t="str">
        <x:v>outer</x:v>
      </x:c>
      <x:c r="F46" s="40" t="str">
        <x:v>route</x:v>
      </x:c>
      <x:c r="G46" s="40" t="str">
        <x:v>blue</x:v>
      </x:c>
      <x:c r="H46" s="40" t="str">
        <x:v>small_route</x:v>
      </x:c>
      <x:c r="I46" s="90" t="n">
        <x:v>-1.265</x:v>
      </x:c>
      <x:c r="J46" s="90" t="n">
        <x:v>-7.15</x:v>
      </x:c>
      <x:c r="K46" s="90" t="n">
        <x:v>0</x:v>
      </x:c>
      <x:c r="L46" s="90" t="n">
        <x:v>0</x:v>
      </x:c>
      <x:c r="M46" s="90" t="n">
        <x:v>0</x:v>
      </x:c>
      <x:c r="N46" s="90" t="n">
        <x:v>10.625</x:v>
      </x:c>
      <x:c r="O46" s="90" t="n">
        <x:v>317.709</x:v>
      </x:c>
      <x:c r="P46" s="90" t="n">
        <x:v>0.2</x:v>
      </x:c>
      <x:c r="Q46" s="90" t="n">
        <x:v>0.2</x:v>
      </x:c>
      <x:c r="R46" s="90" t="n">
        <x:v>0.3</x:v>
      </x:c>
      <x:c r="S46" s="40" t="n">
        <x:v>1</x:v>
      </x:c>
      <x:c r="T46" s="40" t="str">
        <x:v>white</x:v>
      </x:c>
      <x:c r="U46" s="40" t="str">
        <x:v>derived-layout</x:v>
      </x:c>
      <x:c r="V46" s="91" t="b">
        <x:v>1</x:v>
      </x:c>
      <x:c r="W46" s="92" t="str">
        <x:v>左圆外边界可见大圆弧；13等分并在交点两端各内缩半个间隔。</x:v>
      </x:c>
    </x:row>
    <x:row r="47">
      <x:c r="A47" s="89" t="n">
        <x:v>46</x:v>
      </x:c>
      <x:c r="B47" s="40" t="str">
        <x:v>R_OUT_01</x:v>
      </x:c>
      <x:c r="C47" s="40" t="str">
        <x:v>right_outer</x:v>
      </x:c>
      <x:c r="D47" s="40" t="str">
        <x:v>right</x:v>
      </x:c>
      <x:c r="E47" s="40" t="str">
        <x:v>outer</x:v>
      </x:c>
      <x:c r="F47" s="40" t="str">
        <x:v>route</x:v>
      </x:c>
      <x:c r="G47" s="40" t="str">
        <x:v>red</x:v>
      </x:c>
      <x:c r="H47" s="40" t="str">
        <x:v>small_route</x:v>
      </x:c>
      <x:c r="I47" s="90" t="n">
        <x:v>1.265</x:v>
      </x:c>
      <x:c r="J47" s="90" t="n">
        <x:v>7.15</x:v>
      </x:c>
      <x:c r="K47" s="90" t="n">
        <x:v>0</x:v>
      </x:c>
      <x:c r="L47" s="90" t="n">
        <x:v>0</x:v>
      </x:c>
      <x:c r="M47" s="90" t="n">
        <x:v>0</x:v>
      </x:c>
      <x:c r="N47" s="90" t="n">
        <x:v>10.625</x:v>
      </x:c>
      <x:c r="O47" s="90" t="n">
        <x:v>137.709</x:v>
      </x:c>
      <x:c r="P47" s="90" t="n">
        <x:v>0.2</x:v>
      </x:c>
      <x:c r="Q47" s="90" t="n">
        <x:v>0.2</x:v>
      </x:c>
      <x:c r="R47" s="90" t="n">
        <x:v>0.3</x:v>
      </x:c>
      <x:c r="S47" s="40" t="n">
        <x:v>1</x:v>
      </x:c>
      <x:c r="T47" s="40" t="str">
        <x:v>white</x:v>
      </x:c>
      <x:c r="U47" s="40" t="str">
        <x:v>derived-layout</x:v>
      </x:c>
      <x:c r="V47" s="91" t="b">
        <x:v>1</x:v>
      </x:c>
      <x:c r="W47" s="92" t="str">
        <x:v>右圆外边界可见大圆弧；13等分并在交点两端各内缩半个间隔。</x:v>
      </x:c>
    </x:row>
    <x:row r="48">
      <x:c r="A48" s="89" t="n">
        <x:v>47</x:v>
      </x:c>
      <x:c r="B48" s="40" t="str">
        <x:v>R_OUT_02</x:v>
      </x:c>
      <x:c r="C48" s="40" t="str">
        <x:v>right_outer</x:v>
      </x:c>
      <x:c r="D48" s="40" t="str">
        <x:v>right</x:v>
      </x:c>
      <x:c r="E48" s="40" t="str">
        <x:v>outer</x:v>
      </x:c>
      <x:c r="F48" s="40" t="str">
        <x:v>route</x:v>
      </x:c>
      <x:c r="G48" s="40" t="str">
        <x:v>red</x:v>
      </x:c>
      <x:c r="H48" s="40" t="str">
        <x:v>small_route</x:v>
      </x:c>
      <x:c r="I48" s="90" t="n">
        <x:v>4.675</x:v>
      </x:c>
      <x:c r="J48" s="90" t="n">
        <x:v>9.648</x:v>
      </x:c>
      <x:c r="K48" s="90" t="n">
        <x:v>0</x:v>
      </x:c>
      <x:c r="L48" s="90" t="n">
        <x:v>0</x:v>
      </x:c>
      <x:c r="M48" s="90" t="n">
        <x:v>0</x:v>
      </x:c>
      <x:c r="N48" s="90" t="n">
        <x:v>10.625</x:v>
      </x:c>
      <x:c r="O48" s="90" t="n">
        <x:v>114.757</x:v>
      </x:c>
      <x:c r="P48" s="90" t="n">
        <x:v>0.2</x:v>
      </x:c>
      <x:c r="Q48" s="90" t="n">
        <x:v>0.2</x:v>
      </x:c>
      <x:c r="R48" s="90" t="n">
        <x:v>0.3</x:v>
      </x:c>
      <x:c r="S48" s="40" t="n">
        <x:v>1</x:v>
      </x:c>
      <x:c r="T48" s="40" t="str">
        <x:v>white</x:v>
      </x:c>
      <x:c r="U48" s="40" t="str">
        <x:v>derived-layout</x:v>
      </x:c>
      <x:c r="V48" s="91" t="b">
        <x:v>1</x:v>
      </x:c>
      <x:c r="W48" s="92" t="str">
        <x:v>右圆外边界可见大圆弧；13等分并在交点两端各内缩半个间隔。</x:v>
      </x:c>
    </x:row>
    <x:row r="49">
      <x:c r="A49" s="89" t="n">
        <x:v>48</x:v>
      </x:c>
      <x:c r="B49" s="40" t="str">
        <x:v>R_OUT_03</x:v>
      </x:c>
      <x:c r="C49" s="40" t="str">
        <x:v>right_outer</x:v>
      </x:c>
      <x:c r="D49" s="40" t="str">
        <x:v>right</x:v>
      </x:c>
      <x:c r="E49" s="40" t="str">
        <x:v>outer</x:v>
      </x:c>
      <x:c r="F49" s="40" t="str">
        <x:v>route</x:v>
      </x:c>
      <x:c r="G49" s="40" t="str">
        <x:v>red</x:v>
      </x:c>
      <x:c r="H49" s="40" t="str">
        <x:v>small_route</x:v>
      </x:c>
      <x:c r="I49" s="90" t="n">
        <x:v>8.79</x:v>
      </x:c>
      <x:c r="J49" s="90" t="n">
        <x:v>10.62</x:v>
      </x:c>
      <x:c r="K49" s="90" t="n">
        <x:v>0</x:v>
      </x:c>
      <x:c r="L49" s="90" t="n">
        <x:v>0</x:v>
      </x:c>
      <x:c r="M49" s="90" t="n">
        <x:v>0</x:v>
      </x:c>
      <x:c r="N49" s="90" t="n">
        <x:v>10.625</x:v>
      </x:c>
      <x:c r="O49" s="90" t="n">
        <x:v>91.806</x:v>
      </x:c>
      <x:c r="P49" s="90" t="n">
        <x:v>0.2</x:v>
      </x:c>
      <x:c r="Q49" s="90" t="n">
        <x:v>0.2</x:v>
      </x:c>
      <x:c r="R49" s="90" t="n">
        <x:v>0.3</x:v>
      </x:c>
      <x:c r="S49" s="40" t="n">
        <x:v>1</x:v>
      </x:c>
      <x:c r="T49" s="40" t="str">
        <x:v>white</x:v>
      </x:c>
      <x:c r="U49" s="40" t="str">
        <x:v>derived-layout</x:v>
      </x:c>
      <x:c r="V49" s="91" t="b">
        <x:v>1</x:v>
      </x:c>
      <x:c r="W49" s="92" t="str">
        <x:v>右圆外边界可见大圆弧；13等分并在交点两端各内缩半个间隔。</x:v>
      </x:c>
    </x:row>
    <x:row r="50">
      <x:c r="A50" s="89" t="n">
        <x:v>49</x:v>
      </x:c>
      <x:c r="B50" s="40" t="str">
        <x:v>R_OUT_04</x:v>
      </x:c>
      <x:c r="C50" s="40" t="str">
        <x:v>right_outer</x:v>
      </x:c>
      <x:c r="D50" s="40" t="str">
        <x:v>right</x:v>
      </x:c>
      <x:c r="E50" s="40" t="str">
        <x:v>outer</x:v>
      </x:c>
      <x:c r="F50" s="40" t="str">
        <x:v>route</x:v>
      </x:c>
      <x:c r="G50" s="40" t="str">
        <x:v>red</x:v>
      </x:c>
      <x:c r="H50" s="40" t="str">
        <x:v>small_route</x:v>
      </x:c>
      <x:c r="I50" s="90" t="n">
        <x:v>12.958</x:v>
      </x:c>
      <x:c r="J50" s="90" t="n">
        <x:v>9.91</x:v>
      </x:c>
      <x:c r="K50" s="90" t="n">
        <x:v>0</x:v>
      </x:c>
      <x:c r="L50" s="90" t="n">
        <x:v>0</x:v>
      </x:c>
      <x:c r="M50" s="90" t="n">
        <x:v>0</x:v>
      </x:c>
      <x:c r="N50" s="90" t="n">
        <x:v>10.625</x:v>
      </x:c>
      <x:c r="O50" s="90" t="n">
        <x:v>68.854</x:v>
      </x:c>
      <x:c r="P50" s="90" t="n">
        <x:v>0.2</x:v>
      </x:c>
      <x:c r="Q50" s="90" t="n">
        <x:v>0.2</x:v>
      </x:c>
      <x:c r="R50" s="90" t="n">
        <x:v>0.3</x:v>
      </x:c>
      <x:c r="S50" s="40" t="n">
        <x:v>1</x:v>
      </x:c>
      <x:c r="T50" s="40" t="str">
        <x:v>white</x:v>
      </x:c>
      <x:c r="U50" s="40" t="str">
        <x:v>derived-layout</x:v>
      </x:c>
      <x:c r="V50" s="91" t="b">
        <x:v>1</x:v>
      </x:c>
      <x:c r="W50" s="92" t="str">
        <x:v>右圆外边界可见大圆弧；13等分并在交点两端各内缩半个间隔。</x:v>
      </x:c>
    </x:row>
    <x:row r="51">
      <x:c r="A51" s="89" t="n">
        <x:v>50</x:v>
      </x:c>
      <x:c r="B51" s="40" t="str">
        <x:v>R_OUT_05</x:v>
      </x:c>
      <x:c r="C51" s="40" t="str">
        <x:v>right_outer</x:v>
      </x:c>
      <x:c r="D51" s="40" t="str">
        <x:v>right</x:v>
      </x:c>
      <x:c r="E51" s="40" t="str">
        <x:v>outer</x:v>
      </x:c>
      <x:c r="F51" s="40" t="str">
        <x:v>route</x:v>
      </x:c>
      <x:c r="G51" s="40" t="str">
        <x:v>red</x:v>
      </x:c>
      <x:c r="H51" s="40" t="str">
        <x:v>small_route</x:v>
      </x:c>
      <x:c r="I51" s="90" t="n">
        <x:v>16.519</x:v>
      </x:c>
      <x:c r="J51" s="90" t="n">
        <x:v>7.63</x:v>
      </x:c>
      <x:c r="K51" s="90" t="n">
        <x:v>0</x:v>
      </x:c>
      <x:c r="L51" s="90" t="n">
        <x:v>0</x:v>
      </x:c>
      <x:c r="M51" s="90" t="n">
        <x:v>0</x:v>
      </x:c>
      <x:c r="N51" s="90" t="n">
        <x:v>10.625</x:v>
      </x:c>
      <x:c r="O51" s="90" t="n">
        <x:v>45.903</x:v>
      </x:c>
      <x:c r="P51" s="90" t="n">
        <x:v>0.2</x:v>
      </x:c>
      <x:c r="Q51" s="90" t="n">
        <x:v>0.2</x:v>
      </x:c>
      <x:c r="R51" s="90" t="n">
        <x:v>0.3</x:v>
      </x:c>
      <x:c r="S51" s="40" t="n">
        <x:v>1</x:v>
      </x:c>
      <x:c r="T51" s="40" t="str">
        <x:v>white</x:v>
      </x:c>
      <x:c r="U51" s="40" t="str">
        <x:v>derived-layout</x:v>
      </x:c>
      <x:c r="V51" s="91" t="b">
        <x:v>1</x:v>
      </x:c>
      <x:c r="W51" s="92" t="str">
        <x:v>右圆外边界可见大圆弧；13等分并在交点两端各内缩半个间隔。</x:v>
      </x:c>
    </x:row>
    <x:row r="52">
      <x:c r="A52" s="89" t="n">
        <x:v>51</x:v>
      </x:c>
      <x:c r="B52" s="40" t="str">
        <x:v>R_OUT_06</x:v>
      </x:c>
      <x:c r="C52" s="40" t="str">
        <x:v>right_outer</x:v>
      </x:c>
      <x:c r="D52" s="40" t="str">
        <x:v>right</x:v>
      </x:c>
      <x:c r="E52" s="40" t="str">
        <x:v>outer</x:v>
      </x:c>
      <x:c r="F52" s="40" t="str">
        <x:v>route</x:v>
      </x:c>
      <x:c r="G52" s="40" t="str">
        <x:v>red</x:v>
      </x:c>
      <x:c r="H52" s="40" t="str">
        <x:v>small_route</x:v>
      </x:c>
      <x:c r="I52" s="90" t="n">
        <x:v>18.909</x:v>
      </x:c>
      <x:c r="J52" s="90" t="n">
        <x:v>4.143</x:v>
      </x:c>
      <x:c r="K52" s="90" t="n">
        <x:v>0</x:v>
      </x:c>
      <x:c r="L52" s="90" t="n">
        <x:v>0</x:v>
      </x:c>
      <x:c r="M52" s="90" t="n">
        <x:v>0</x:v>
      </x:c>
      <x:c r="N52" s="90" t="n">
        <x:v>10.625</x:v>
      </x:c>
      <x:c r="O52" s="90" t="n">
        <x:v>22.951</x:v>
      </x:c>
      <x:c r="P52" s="90" t="n">
        <x:v>0.2</x:v>
      </x:c>
      <x:c r="Q52" s="90" t="n">
        <x:v>0.2</x:v>
      </x:c>
      <x:c r="R52" s="90" t="n">
        <x:v>0.3</x:v>
      </x:c>
      <x:c r="S52" s="40" t="n">
        <x:v>1</x:v>
      </x:c>
      <x:c r="T52" s="40" t="str">
        <x:v>white</x:v>
      </x:c>
      <x:c r="U52" s="40" t="str">
        <x:v>derived-layout</x:v>
      </x:c>
      <x:c r="V52" s="91" t="b">
        <x:v>1</x:v>
      </x:c>
      <x:c r="W52" s="92" t="str">
        <x:v>右圆外边界可见大圆弧；13等分并在交点两端各内缩半个间隔。</x:v>
      </x:c>
    </x:row>
    <x:row r="53">
      <x:c r="A53" s="89" t="n">
        <x:v>52</x:v>
      </x:c>
      <x:c r="B53" s="40" t="str">
        <x:v>R_OUT_07</x:v>
      </x:c>
      <x:c r="C53" s="40" t="str">
        <x:v>right_outer</x:v>
      </x:c>
      <x:c r="D53" s="40" t="str">
        <x:v>right</x:v>
      </x:c>
      <x:c r="E53" s="40" t="str">
        <x:v>outer</x:v>
      </x:c>
      <x:c r="F53" s="40" t="str">
        <x:v>route</x:v>
      </x:c>
      <x:c r="G53" s="40" t="str">
        <x:v>red</x:v>
      </x:c>
      <x:c r="H53" s="40" t="str">
        <x:v>small_route</x:v>
      </x:c>
      <x:c r="I53" s="90" t="n">
        <x:v>19.75</x:v>
      </x:c>
      <x:c r="J53" s="90" t="n">
        <x:v>0</x:v>
      </x:c>
      <x:c r="K53" s="90" t="n">
        <x:v>0</x:v>
      </x:c>
      <x:c r="L53" s="90" t="n">
        <x:v>0</x:v>
      </x:c>
      <x:c r="M53" s="90" t="n">
        <x:v>0</x:v>
      </x:c>
      <x:c r="N53" s="90" t="n">
        <x:v>10.625</x:v>
      </x:c>
      <x:c r="O53" s="90" t="n">
        <x:v>0</x:v>
      </x:c>
      <x:c r="P53" s="90" t="n">
        <x:v>0.2</x:v>
      </x:c>
      <x:c r="Q53" s="90" t="n">
        <x:v>0.2</x:v>
      </x:c>
      <x:c r="R53" s="90" t="n">
        <x:v>0.3</x:v>
      </x:c>
      <x:c r="S53" s="40" t="n">
        <x:v>1</x:v>
      </x:c>
      <x:c r="T53" s="40" t="str">
        <x:v>white</x:v>
      </x:c>
      <x:c r="U53" s="40" t="str">
        <x:v>derived-layout</x:v>
      </x:c>
      <x:c r="V53" s="91" t="b">
        <x:v>1</x:v>
      </x:c>
      <x:c r="W53" s="92" t="str">
        <x:v>右圆外边界可见大圆弧；13等分并在交点两端各内缩半个间隔。</x:v>
      </x:c>
    </x:row>
    <x:row r="54">
      <x:c r="A54" s="89" t="n">
        <x:v>53</x:v>
      </x:c>
      <x:c r="B54" s="40" t="str">
        <x:v>R_OUT_08</x:v>
      </x:c>
      <x:c r="C54" s="40" t="str">
        <x:v>right_outer</x:v>
      </x:c>
      <x:c r="D54" s="40" t="str">
        <x:v>right</x:v>
      </x:c>
      <x:c r="E54" s="40" t="str">
        <x:v>outer</x:v>
      </x:c>
      <x:c r="F54" s="40" t="str">
        <x:v>route</x:v>
      </x:c>
      <x:c r="G54" s="40" t="str">
        <x:v>red</x:v>
      </x:c>
      <x:c r="H54" s="40" t="str">
        <x:v>small_route</x:v>
      </x:c>
      <x:c r="I54" s="90" t="n">
        <x:v>18.909</x:v>
      </x:c>
      <x:c r="J54" s="90" t="n">
        <x:v>-4.143</x:v>
      </x:c>
      <x:c r="K54" s="90" t="n">
        <x:v>0</x:v>
      </x:c>
      <x:c r="L54" s="90" t="n">
        <x:v>0</x:v>
      </x:c>
      <x:c r="M54" s="90" t="n">
        <x:v>0</x:v>
      </x:c>
      <x:c r="N54" s="90" t="n">
        <x:v>10.625</x:v>
      </x:c>
      <x:c r="O54" s="90" t="n">
        <x:v>337.049</x:v>
      </x:c>
      <x:c r="P54" s="90" t="n">
        <x:v>0.2</x:v>
      </x:c>
      <x:c r="Q54" s="90" t="n">
        <x:v>0.2</x:v>
      </x:c>
      <x:c r="R54" s="90" t="n">
        <x:v>0.3</x:v>
      </x:c>
      <x:c r="S54" s="40" t="n">
        <x:v>1</x:v>
      </x:c>
      <x:c r="T54" s="40" t="str">
        <x:v>white</x:v>
      </x:c>
      <x:c r="U54" s="40" t="str">
        <x:v>derived-layout</x:v>
      </x:c>
      <x:c r="V54" s="91" t="b">
        <x:v>1</x:v>
      </x:c>
      <x:c r="W54" s="92" t="str">
        <x:v>右圆外边界可见大圆弧；13等分并在交点两端各内缩半个间隔。</x:v>
      </x:c>
    </x:row>
    <x:row r="55">
      <x:c r="A55" s="89" t="n">
        <x:v>54</x:v>
      </x:c>
      <x:c r="B55" s="40" t="str">
        <x:v>R_OUT_09</x:v>
      </x:c>
      <x:c r="C55" s="40" t="str">
        <x:v>right_outer</x:v>
      </x:c>
      <x:c r="D55" s="40" t="str">
        <x:v>right</x:v>
      </x:c>
      <x:c r="E55" s="40" t="str">
        <x:v>outer</x:v>
      </x:c>
      <x:c r="F55" s="40" t="str">
        <x:v>route</x:v>
      </x:c>
      <x:c r="G55" s="40" t="str">
        <x:v>red</x:v>
      </x:c>
      <x:c r="H55" s="40" t="str">
        <x:v>small_route</x:v>
      </x:c>
      <x:c r="I55" s="90" t="n">
        <x:v>16.519</x:v>
      </x:c>
      <x:c r="J55" s="90" t="n">
        <x:v>-7.63</x:v>
      </x:c>
      <x:c r="K55" s="90" t="n">
        <x:v>0</x:v>
      </x:c>
      <x:c r="L55" s="90" t="n">
        <x:v>0</x:v>
      </x:c>
      <x:c r="M55" s="90" t="n">
        <x:v>0</x:v>
      </x:c>
      <x:c r="N55" s="90" t="n">
        <x:v>10.625</x:v>
      </x:c>
      <x:c r="O55" s="90" t="n">
        <x:v>314.097</x:v>
      </x:c>
      <x:c r="P55" s="90" t="n">
        <x:v>0.2</x:v>
      </x:c>
      <x:c r="Q55" s="90" t="n">
        <x:v>0.2</x:v>
      </x:c>
      <x:c r="R55" s="90" t="n">
        <x:v>0.3</x:v>
      </x:c>
      <x:c r="S55" s="40" t="n">
        <x:v>1</x:v>
      </x:c>
      <x:c r="T55" s="40" t="str">
        <x:v>white</x:v>
      </x:c>
      <x:c r="U55" s="40" t="str">
        <x:v>derived-layout</x:v>
      </x:c>
      <x:c r="V55" s="91" t="b">
        <x:v>1</x:v>
      </x:c>
      <x:c r="W55" s="92" t="str">
        <x:v>右圆外边界可见大圆弧；13等分并在交点两端各内缩半个间隔。</x:v>
      </x:c>
    </x:row>
    <x:row r="56">
      <x:c r="A56" s="89" t="n">
        <x:v>55</x:v>
      </x:c>
      <x:c r="B56" s="40" t="str">
        <x:v>R_OUT_10</x:v>
      </x:c>
      <x:c r="C56" s="40" t="str">
        <x:v>right_outer</x:v>
      </x:c>
      <x:c r="D56" s="40" t="str">
        <x:v>right</x:v>
      </x:c>
      <x:c r="E56" s="40" t="str">
        <x:v>outer</x:v>
      </x:c>
      <x:c r="F56" s="40" t="str">
        <x:v>route</x:v>
      </x:c>
      <x:c r="G56" s="40" t="str">
        <x:v>red</x:v>
      </x:c>
      <x:c r="H56" s="40" t="str">
        <x:v>small_route</x:v>
      </x:c>
      <x:c r="I56" s="90" t="n">
        <x:v>12.958</x:v>
      </x:c>
      <x:c r="J56" s="90" t="n">
        <x:v>-9.91</x:v>
      </x:c>
      <x:c r="K56" s="90" t="n">
        <x:v>0</x:v>
      </x:c>
      <x:c r="L56" s="90" t="n">
        <x:v>0</x:v>
      </x:c>
      <x:c r="M56" s="90" t="n">
        <x:v>0</x:v>
      </x:c>
      <x:c r="N56" s="90" t="n">
        <x:v>10.625</x:v>
      </x:c>
      <x:c r="O56" s="90" t="n">
        <x:v>291.146</x:v>
      </x:c>
      <x:c r="P56" s="90" t="n">
        <x:v>0.2</x:v>
      </x:c>
      <x:c r="Q56" s="90" t="n">
        <x:v>0.2</x:v>
      </x:c>
      <x:c r="R56" s="90" t="n">
        <x:v>0.3</x:v>
      </x:c>
      <x:c r="S56" s="40" t="n">
        <x:v>1</x:v>
      </x:c>
      <x:c r="T56" s="40" t="str">
        <x:v>white</x:v>
      </x:c>
      <x:c r="U56" s="40" t="str">
        <x:v>derived-layout</x:v>
      </x:c>
      <x:c r="V56" s="91" t="b">
        <x:v>1</x:v>
      </x:c>
      <x:c r="W56" s="92" t="str">
        <x:v>右圆外边界可见大圆弧；13等分并在交点两端各内缩半个间隔。</x:v>
      </x:c>
    </x:row>
    <x:row r="57">
      <x:c r="A57" s="89" t="n">
        <x:v>56</x:v>
      </x:c>
      <x:c r="B57" s="40" t="str">
        <x:v>R_OUT_11</x:v>
      </x:c>
      <x:c r="C57" s="40" t="str">
        <x:v>right_outer</x:v>
      </x:c>
      <x:c r="D57" s="40" t="str">
        <x:v>right</x:v>
      </x:c>
      <x:c r="E57" s="40" t="str">
        <x:v>outer</x:v>
      </x:c>
      <x:c r="F57" s="40" t="str">
        <x:v>route</x:v>
      </x:c>
      <x:c r="G57" s="40" t="str">
        <x:v>red</x:v>
      </x:c>
      <x:c r="H57" s="40" t="str">
        <x:v>small_route</x:v>
      </x:c>
      <x:c r="I57" s="90" t="n">
        <x:v>8.79</x:v>
      </x:c>
      <x:c r="J57" s="90" t="n">
        <x:v>-10.62</x:v>
      </x:c>
      <x:c r="K57" s="90" t="n">
        <x:v>0</x:v>
      </x:c>
      <x:c r="L57" s="90" t="n">
        <x:v>0</x:v>
      </x:c>
      <x:c r="M57" s="90" t="n">
        <x:v>0</x:v>
      </x:c>
      <x:c r="N57" s="90" t="n">
        <x:v>10.625</x:v>
      </x:c>
      <x:c r="O57" s="90" t="n">
        <x:v>268.194</x:v>
      </x:c>
      <x:c r="P57" s="90" t="n">
        <x:v>0.2</x:v>
      </x:c>
      <x:c r="Q57" s="90" t="n">
        <x:v>0.2</x:v>
      </x:c>
      <x:c r="R57" s="90" t="n">
        <x:v>0.3</x:v>
      </x:c>
      <x:c r="S57" s="40" t="n">
        <x:v>1</x:v>
      </x:c>
      <x:c r="T57" s="40" t="str">
        <x:v>white</x:v>
      </x:c>
      <x:c r="U57" s="40" t="str">
        <x:v>derived-layout</x:v>
      </x:c>
      <x:c r="V57" s="91" t="b">
        <x:v>1</x:v>
      </x:c>
      <x:c r="W57" s="92" t="str">
        <x:v>右圆外边界可见大圆弧；13等分并在交点两端各内缩半个间隔。</x:v>
      </x:c>
    </x:row>
    <x:row r="58">
      <x:c r="A58" s="89" t="n">
        <x:v>57</x:v>
      </x:c>
      <x:c r="B58" s="40" t="str">
        <x:v>R_OUT_12</x:v>
      </x:c>
      <x:c r="C58" s="40" t="str">
        <x:v>right_outer</x:v>
      </x:c>
      <x:c r="D58" s="40" t="str">
        <x:v>right</x:v>
      </x:c>
      <x:c r="E58" s="40" t="str">
        <x:v>outer</x:v>
      </x:c>
      <x:c r="F58" s="40" t="str">
        <x:v>route</x:v>
      </x:c>
      <x:c r="G58" s="40" t="str">
        <x:v>red</x:v>
      </x:c>
      <x:c r="H58" s="40" t="str">
        <x:v>small_route</x:v>
      </x:c>
      <x:c r="I58" s="90" t="n">
        <x:v>4.675</x:v>
      </x:c>
      <x:c r="J58" s="90" t="n">
        <x:v>-9.648</x:v>
      </x:c>
      <x:c r="K58" s="90" t="n">
        <x:v>0</x:v>
      </x:c>
      <x:c r="L58" s="90" t="n">
        <x:v>0</x:v>
      </x:c>
      <x:c r="M58" s="90" t="n">
        <x:v>0</x:v>
      </x:c>
      <x:c r="N58" s="90" t="n">
        <x:v>10.625</x:v>
      </x:c>
      <x:c r="O58" s="90" t="n">
        <x:v>245.243</x:v>
      </x:c>
      <x:c r="P58" s="90" t="n">
        <x:v>0.2</x:v>
      </x:c>
      <x:c r="Q58" s="90" t="n">
        <x:v>0.2</x:v>
      </x:c>
      <x:c r="R58" s="90" t="n">
        <x:v>0.3</x:v>
      </x:c>
      <x:c r="S58" s="40" t="n">
        <x:v>1</x:v>
      </x:c>
      <x:c r="T58" s="40" t="str">
        <x:v>white</x:v>
      </x:c>
      <x:c r="U58" s="40" t="str">
        <x:v>derived-layout</x:v>
      </x:c>
      <x:c r="V58" s="91" t="b">
        <x:v>1</x:v>
      </x:c>
      <x:c r="W58" s="92" t="str">
        <x:v>右圆外边界可见大圆弧；13等分并在交点两端各内缩半个间隔。</x:v>
      </x:c>
    </x:row>
    <x:row r="59">
      <x:c r="A59" s="89" t="n">
        <x:v>58</x:v>
      </x:c>
      <x:c r="B59" s="40" t="str">
        <x:v>R_OUT_13</x:v>
      </x:c>
      <x:c r="C59" s="40" t="str">
        <x:v>right_outer</x:v>
      </x:c>
      <x:c r="D59" s="40" t="str">
        <x:v>right</x:v>
      </x:c>
      <x:c r="E59" s="40" t="str">
        <x:v>outer</x:v>
      </x:c>
      <x:c r="F59" s="40" t="str">
        <x:v>route</x:v>
      </x:c>
      <x:c r="G59" s="40" t="str">
        <x:v>red</x:v>
      </x:c>
      <x:c r="H59" s="40" t="str">
        <x:v>small_route</x:v>
      </x:c>
      <x:c r="I59" s="90" t="n">
        <x:v>1.265</x:v>
      </x:c>
      <x:c r="J59" s="90" t="n">
        <x:v>-7.15</x:v>
      </x:c>
      <x:c r="K59" s="90" t="n">
        <x:v>0</x:v>
      </x:c>
      <x:c r="L59" s="90" t="n">
        <x:v>0</x:v>
      </x:c>
      <x:c r="M59" s="90" t="n">
        <x:v>0</x:v>
      </x:c>
      <x:c r="N59" s="90" t="n">
        <x:v>10.625</x:v>
      </x:c>
      <x:c r="O59" s="90" t="n">
        <x:v>222.291</x:v>
      </x:c>
      <x:c r="P59" s="90" t="n">
        <x:v>0.2</x:v>
      </x:c>
      <x:c r="Q59" s="90" t="n">
        <x:v>0.2</x:v>
      </x:c>
      <x:c r="R59" s="90" t="n">
        <x:v>0.3</x:v>
      </x:c>
      <x:c r="S59" s="40" t="n">
        <x:v>1</x:v>
      </x:c>
      <x:c r="T59" s="40" t="str">
        <x:v>white</x:v>
      </x:c>
      <x:c r="U59" s="40" t="str">
        <x:v>derived-layout</x:v>
      </x:c>
      <x:c r="V59" s="91" t="b">
        <x:v>1</x:v>
      </x:c>
      <x:c r="W59" s="92" t="str">
        <x:v>右圆外边界可见大圆弧；13等分并在交点两端各内缩半个间隔。</x:v>
      </x:c>
    </x:row>
    <x:row r="60">
      <x:c r="A60" s="89" t="n">
        <x:v>59</x:v>
      </x:c>
      <x:c r="B60" s="40" t="str">
        <x:v>TURN_01</x:v>
      </x:c>
      <x:c r="C60" s="40" t="str">
        <x:v>direction_change</x:v>
      </x:c>
      <x:c r="D60" s="40" t="str">
        <x:v>center</x:v>
      </x:c>
      <x:c r="E60" s="40" t="str">
        <x:v>left_upper</x:v>
      </x:c>
      <x:c r="F60" s="40" t="str">
        <x:v>direction_change</x:v>
      </x:c>
      <x:c r="G60" s="40" t="str">
        <x:v>yellow</x:v>
      </x:c>
      <x:c r="H60" s="40" t="str">
        <x:v>large_direction_change</x:v>
      </x:c>
      <x:c r="I60" s="90" t="n">
        <x:v>-1.5</x:v>
      </x:c>
      <x:c r="J60" s="90" t="n">
        <x:v>1.5</x:v>
      </x:c>
      <x:c r="K60" s="90" t="n">
        <x:v>0</x:v>
      </x:c>
      <x:c r="L60" s="90" t="n">
        <x:v>0</x:v>
      </x:c>
      <x:c r="M60" s="90" t="n">
        <x:v>0</x:v>
      </x:c>
      <x:c r="N60" s="90"/>
      <x:c r="O60" s="90"/>
      <x:c r="P60" s="90" t="n">
        <x:v>0.35</x:v>
      </x:c>
      <x:c r="Q60" s="90" t="n">
        <x:v>0.35</x:v>
      </x:c>
      <x:c r="R60" s="90" t="n">
        <x:v>0.7</x:v>
      </x:c>
      <x:c r="S60" s="40" t="n">
        <x:v>2</x:v>
      </x:c>
      <x:c r="T60" s="40" t="str">
        <x:v>white</x:v>
      </x:c>
      <x:c r="U60" s="40" t="str">
        <x:v>engineering-assumption</x:v>
      </x:c>
      <x:c r="V60" s="91" t="b">
        <x:v>1</x:v>
      </x:c>
      <x:c r="W60" s="92" t="str">
        <x:v>图示仅给出切点附近位置；本地图取纵向偏移±1.5 m，可在实测后修改。</x:v>
      </x:c>
    </x:row>
    <x:row r="61">
      <x:c r="A61" s="89" t="n">
        <x:v>60</x:v>
      </x:c>
      <x:c r="B61" s="40" t="str">
        <x:v>TURN_02</x:v>
      </x:c>
      <x:c r="C61" s="40" t="str">
        <x:v>direction_change</x:v>
      </x:c>
      <x:c r="D61" s="40" t="str">
        <x:v>center</x:v>
      </x:c>
      <x:c r="E61" s="40" t="str">
        <x:v>left_lower</x:v>
      </x:c>
      <x:c r="F61" s="40" t="str">
        <x:v>direction_change</x:v>
      </x:c>
      <x:c r="G61" s="40" t="str">
        <x:v>yellow</x:v>
      </x:c>
      <x:c r="H61" s="40" t="str">
        <x:v>large_direction_change</x:v>
      </x:c>
      <x:c r="I61" s="90" t="n">
        <x:v>-1.5</x:v>
      </x:c>
      <x:c r="J61" s="90" t="n">
        <x:v>-1.5</x:v>
      </x:c>
      <x:c r="K61" s="90" t="n">
        <x:v>0</x:v>
      </x:c>
      <x:c r="L61" s="90" t="n">
        <x:v>0</x:v>
      </x:c>
      <x:c r="M61" s="90" t="n">
        <x:v>0</x:v>
      </x:c>
      <x:c r="N61" s="90"/>
      <x:c r="O61" s="90"/>
      <x:c r="P61" s="90" t="n">
        <x:v>0.35</x:v>
      </x:c>
      <x:c r="Q61" s="90" t="n">
        <x:v>0.35</x:v>
      </x:c>
      <x:c r="R61" s="90" t="n">
        <x:v>0.7</x:v>
      </x:c>
      <x:c r="S61" s="40" t="n">
        <x:v>2</x:v>
      </x:c>
      <x:c r="T61" s="40" t="str">
        <x:v>white</x:v>
      </x:c>
      <x:c r="U61" s="40" t="str">
        <x:v>engineering-assumption</x:v>
      </x:c>
      <x:c r="V61" s="91" t="b">
        <x:v>1</x:v>
      </x:c>
      <x:c r="W61" s="92" t="str">
        <x:v>图示仅给出切点附近位置；本地图取纵向偏移±1.5 m，可在实测后修改。</x:v>
      </x:c>
    </x:row>
    <x:row r="62">
      <x:c r="A62" s="89" t="n">
        <x:v>61</x:v>
      </x:c>
      <x:c r="B62" s="40" t="str">
        <x:v>TURN_03</x:v>
      </x:c>
      <x:c r="C62" s="40" t="str">
        <x:v>direction_change</x:v>
      </x:c>
      <x:c r="D62" s="40" t="str">
        <x:v>center</x:v>
      </x:c>
      <x:c r="E62" s="40" t="str">
        <x:v>right_upper</x:v>
      </x:c>
      <x:c r="F62" s="40" t="str">
        <x:v>direction_change</x:v>
      </x:c>
      <x:c r="G62" s="40" t="str">
        <x:v>yellow</x:v>
      </x:c>
      <x:c r="H62" s="40" t="str">
        <x:v>large_direction_change</x:v>
      </x:c>
      <x:c r="I62" s="90" t="n">
        <x:v>1.5</x:v>
      </x:c>
      <x:c r="J62" s="90" t="n">
        <x:v>1.5</x:v>
      </x:c>
      <x:c r="K62" s="90" t="n">
        <x:v>0</x:v>
      </x:c>
      <x:c r="L62" s="90" t="n">
        <x:v>0</x:v>
      </x:c>
      <x:c r="M62" s="90" t="n">
        <x:v>0</x:v>
      </x:c>
      <x:c r="N62" s="90"/>
      <x:c r="O62" s="90"/>
      <x:c r="P62" s="90" t="n">
        <x:v>0.35</x:v>
      </x:c>
      <x:c r="Q62" s="90" t="n">
        <x:v>0.35</x:v>
      </x:c>
      <x:c r="R62" s="90" t="n">
        <x:v>0.7</x:v>
      </x:c>
      <x:c r="S62" s="40" t="n">
        <x:v>2</x:v>
      </x:c>
      <x:c r="T62" s="40" t="str">
        <x:v>white</x:v>
      </x:c>
      <x:c r="U62" s="40" t="str">
        <x:v>engineering-assumption</x:v>
      </x:c>
      <x:c r="V62" s="91" t="b">
        <x:v>1</x:v>
      </x:c>
      <x:c r="W62" s="92" t="str">
        <x:v>图示仅给出切点附近位置；本地图取纵向偏移±1.5 m，可在实测后修改。</x:v>
      </x:c>
    </x:row>
    <x:row r="63">
      <x:c r="A63" s="89" t="n">
        <x:v>62</x:v>
      </x:c>
      <x:c r="B63" s="40" t="str">
        <x:v>TURN_04</x:v>
      </x:c>
      <x:c r="C63" s="40" t="str">
        <x:v>direction_change</x:v>
      </x:c>
      <x:c r="D63" s="40" t="str">
        <x:v>center</x:v>
      </x:c>
      <x:c r="E63" s="40" t="str">
        <x:v>right_lower</x:v>
      </x:c>
      <x:c r="F63" s="40" t="str">
        <x:v>direction_change</x:v>
      </x:c>
      <x:c r="G63" s="40" t="str">
        <x:v>yellow</x:v>
      </x:c>
      <x:c r="H63" s="40" t="str">
        <x:v>large_direction_change</x:v>
      </x:c>
      <x:c r="I63" s="90" t="n">
        <x:v>1.5</x:v>
      </x:c>
      <x:c r="J63" s="90" t="n">
        <x:v>-1.5</x:v>
      </x:c>
      <x:c r="K63" s="90" t="n">
        <x:v>0</x:v>
      </x:c>
      <x:c r="L63" s="90" t="n">
        <x:v>0</x:v>
      </x:c>
      <x:c r="M63" s="90" t="n">
        <x:v>0</x:v>
      </x:c>
      <x:c r="N63" s="90"/>
      <x:c r="O63" s="90"/>
      <x:c r="P63" s="90" t="n">
        <x:v>0.35</x:v>
      </x:c>
      <x:c r="Q63" s="90" t="n">
        <x:v>0.35</x:v>
      </x:c>
      <x:c r="R63" s="90" t="n">
        <x:v>0.7</x:v>
      </x:c>
      <x:c r="S63" s="40" t="n">
        <x:v>2</x:v>
      </x:c>
      <x:c r="T63" s="40" t="str">
        <x:v>white</x:v>
      </x:c>
      <x:c r="U63" s="40" t="str">
        <x:v>engineering-assumption</x:v>
      </x:c>
      <x:c r="V63" s="91" t="b">
        <x:v>1</x:v>
      </x:c>
      <x:c r="W63" s="92" t="str">
        <x:v>图示仅给出切点附近位置；本地图取纵向偏移±1.5 m，可在实测后修改。</x:v>
      </x:c>
    </x:row>
    <x:row r="64">
      <x:c r="A64" s="89" t="n">
        <x:v>63</x:v>
      </x:c>
      <x:c r="B64" s="40" t="str">
        <x:v>DECEL_01</x:v>
      </x:c>
      <x:c r="C64" s="40" t="str">
        <x:v>deceleration</x:v>
      </x:c>
      <x:c r="D64" s="40" t="str">
        <x:v>center</x:v>
      </x:c>
      <x:c r="E64" s="40" t="str">
        <x:v>exit_left</x:v>
      </x:c>
      <x:c r="F64" s="40" t="str">
        <x:v>deceleration</x:v>
      </x:c>
      <x:c r="G64" s="40" t="str">
        <x:v>yellow</x:v>
      </x:c>
      <x:c r="H64" s="40" t="str">
        <x:v>small_deceleration</x:v>
      </x:c>
      <x:c r="I64" s="90" t="n">
        <x:v>-1.5</x:v>
      </x:c>
      <x:c r="J64" s="90" t="n">
        <x:v>12</x:v>
      </x:c>
      <x:c r="K64" s="90" t="n">
        <x:v>0</x:v>
      </x:c>
      <x:c r="L64" s="90" t="n">
        <x:v>0</x:v>
      </x:c>
      <x:c r="M64" s="90" t="n">
        <x:v>0</x:v>
      </x:c>
      <x:c r="N64" s="90"/>
      <x:c r="O64" s="90"/>
      <x:c r="P64" s="90" t="n">
        <x:v>0.2</x:v>
      </x:c>
      <x:c r="Q64" s="90" t="n">
        <x:v>0.2</x:v>
      </x:c>
      <x:c r="R64" s="90" t="n">
        <x:v>0.3</x:v>
      </x:c>
      <x:c r="S64" s="40" t="n">
        <x:v>1</x:v>
      </x:c>
      <x:c r="T64" s="40" t="str">
        <x:v>white</x:v>
      </x:c>
      <x:c r="U64" s="40" t="str">
        <x:v>engineering-assumption</x:v>
      </x:c>
      <x:c r="V64" s="91" t="b">
        <x:v>1</x:v>
      </x:c>
      <x:c r="W64" s="92" t="str">
        <x:v>入口/出口纵向位置在原图中未标注；本地图固定为y=±12.0 m。</x:v>
      </x:c>
    </x:row>
    <x:row r="65">
      <x:c r="A65" s="89" t="n">
        <x:v>64</x:v>
      </x:c>
      <x:c r="B65" s="40" t="str">
        <x:v>DECEL_02</x:v>
      </x:c>
      <x:c r="C65" s="40" t="str">
        <x:v>deceleration</x:v>
      </x:c>
      <x:c r="D65" s="40" t="str">
        <x:v>center</x:v>
      </x:c>
      <x:c r="E65" s="40" t="str">
        <x:v>exit_right</x:v>
      </x:c>
      <x:c r="F65" s="40" t="str">
        <x:v>deceleration</x:v>
      </x:c>
      <x:c r="G65" s="40" t="str">
        <x:v>yellow</x:v>
      </x:c>
      <x:c r="H65" s="40" t="str">
        <x:v>small_deceleration</x:v>
      </x:c>
      <x:c r="I65" s="90" t="n">
        <x:v>1.5</x:v>
      </x:c>
      <x:c r="J65" s="90" t="n">
        <x:v>12</x:v>
      </x:c>
      <x:c r="K65" s="90" t="n">
        <x:v>0</x:v>
      </x:c>
      <x:c r="L65" s="90" t="n">
        <x:v>0</x:v>
      </x:c>
      <x:c r="M65" s="90" t="n">
        <x:v>0</x:v>
      </x:c>
      <x:c r="N65" s="90"/>
      <x:c r="O65" s="90"/>
      <x:c r="P65" s="90" t="n">
        <x:v>0.2</x:v>
      </x:c>
      <x:c r="Q65" s="90" t="n">
        <x:v>0.2</x:v>
      </x:c>
      <x:c r="R65" s="90" t="n">
        <x:v>0.3</x:v>
      </x:c>
      <x:c r="S65" s="40" t="n">
        <x:v>1</x:v>
      </x:c>
      <x:c r="T65" s="40" t="str">
        <x:v>white</x:v>
      </x:c>
      <x:c r="U65" s="40" t="str">
        <x:v>engineering-assumption</x:v>
      </x:c>
      <x:c r="V65" s="91" t="b">
        <x:v>1</x:v>
      </x:c>
      <x:c r="W65" s="92" t="str">
        <x:v>入口/出口纵向位置在原图中未标注；本地图固定为y=±12.0 m。</x:v>
      </x:c>
    </x:row>
    <x:row r="66">
      <x:c r="A66" s="89" t="n">
        <x:v>65</x:v>
      </x:c>
      <x:c r="B66" s="40" t="str">
        <x:v>DECEL_03</x:v>
      </x:c>
      <x:c r="C66" s="40" t="str">
        <x:v>deceleration</x:v>
      </x:c>
      <x:c r="D66" s="40" t="str">
        <x:v>center</x:v>
      </x:c>
      <x:c r="E66" s="40" t="str">
        <x:v>entry_left</x:v>
      </x:c>
      <x:c r="F66" s="40" t="str">
        <x:v>deceleration</x:v>
      </x:c>
      <x:c r="G66" s="40" t="str">
        <x:v>yellow</x:v>
      </x:c>
      <x:c r="H66" s="40" t="str">
        <x:v>small_deceleration</x:v>
      </x:c>
      <x:c r="I66" s="90" t="n">
        <x:v>-1.5</x:v>
      </x:c>
      <x:c r="J66" s="90" t="n">
        <x:v>-12</x:v>
      </x:c>
      <x:c r="K66" s="90" t="n">
        <x:v>0</x:v>
      </x:c>
      <x:c r="L66" s="90" t="n">
        <x:v>0</x:v>
      </x:c>
      <x:c r="M66" s="90" t="n">
        <x:v>0</x:v>
      </x:c>
      <x:c r="N66" s="90"/>
      <x:c r="O66" s="90"/>
      <x:c r="P66" s="90" t="n">
        <x:v>0.2</x:v>
      </x:c>
      <x:c r="Q66" s="90" t="n">
        <x:v>0.2</x:v>
      </x:c>
      <x:c r="R66" s="90" t="n">
        <x:v>0.3</x:v>
      </x:c>
      <x:c r="S66" s="40" t="n">
        <x:v>1</x:v>
      </x:c>
      <x:c r="T66" s="40" t="str">
        <x:v>white</x:v>
      </x:c>
      <x:c r="U66" s="40" t="str">
        <x:v>engineering-assumption</x:v>
      </x:c>
      <x:c r="V66" s="91" t="b">
        <x:v>1</x:v>
      </x:c>
      <x:c r="W66" s="92" t="str">
        <x:v>入口/出口纵向位置在原图中未标注；本地图固定为y=±12.0 m。</x:v>
      </x:c>
    </x:row>
    <x:row r="67">
      <x:c r="A67" s="93" t="n">
        <x:v>66</x:v>
      </x:c>
      <x:c r="B67" s="94" t="str">
        <x:v>DECEL_04</x:v>
      </x:c>
      <x:c r="C67" s="94" t="str">
        <x:v>deceleration</x:v>
      </x:c>
      <x:c r="D67" s="94" t="str">
        <x:v>center</x:v>
      </x:c>
      <x:c r="E67" s="94" t="str">
        <x:v>entry_right</x:v>
      </x:c>
      <x:c r="F67" s="94" t="str">
        <x:v>deceleration</x:v>
      </x:c>
      <x:c r="G67" s="94" t="str">
        <x:v>yellow</x:v>
      </x:c>
      <x:c r="H67" s="94" t="str">
        <x:v>small_deceleration</x:v>
      </x:c>
      <x:c r="I67" s="95" t="n">
        <x:v>1.5</x:v>
      </x:c>
      <x:c r="J67" s="95" t="n">
        <x:v>-12</x:v>
      </x:c>
      <x:c r="K67" s="95" t="n">
        <x:v>0</x:v>
      </x:c>
      <x:c r="L67" s="95" t="n">
        <x:v>0</x:v>
      </x:c>
      <x:c r="M67" s="95" t="n">
        <x:v>0</x:v>
      </x:c>
      <x:c r="N67" s="95"/>
      <x:c r="O67" s="95"/>
      <x:c r="P67" s="95" t="n">
        <x:v>0.2</x:v>
      </x:c>
      <x:c r="Q67" s="95" t="n">
        <x:v>0.2</x:v>
      </x:c>
      <x:c r="R67" s="95" t="n">
        <x:v>0.3</x:v>
      </x:c>
      <x:c r="S67" s="94" t="n">
        <x:v>1</x:v>
      </x:c>
      <x:c r="T67" s="94" t="str">
        <x:v>white</x:v>
      </x:c>
      <x:c r="U67" s="94" t="str">
        <x:v>engineering-assumption</x:v>
      </x:c>
      <x:c r="V67" s="96" t="b">
        <x:v>1</x:v>
      </x:c>
      <x:c r="W67" s="97" t="str">
        <x:v>入口/出口纵向位置在原图中未标注；本地图固定为y=±12.0 m。</x:v>
      </x:c>
    </x:row>
  </x:sheetData>
  <x:conditionalFormatting sqref="U2:U67">
    <x:cfRule type="expression" dxfId="0" priority="1">
      <x:formula>U2="engineering-assumption"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4ed6a895f241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10" hidden="0" customWidth="1"/>
    <x:col min="4" max="4" width="52" hidden="0" customWidth="1"/>
  </x:cols>
  <x:sheetData>
    <x:row r="1">
      <x:c r="A1" s="116" t="str">
        <x:v>YAML路径</x:v>
      </x:c>
      <x:c r="B1" s="117" t="str">
        <x:v>类型</x:v>
      </x:c>
      <x:c r="C1" s="117" t="str">
        <x:v>必填</x:v>
      </x:c>
      <x:c r="D1" s="118" t="str">
        <x:v>含义/约束</x:v>
      </x:c>
    </x:row>
    <x:row r="2">
      <x:c r="A2" s="89" t="str">
        <x:v>schema_version</x:v>
      </x:c>
      <x:c r="B2" s="40" t="str">
        <x:v>string</x:v>
      </x:c>
      <x:c r="C2" s="40" t="str">
        <x:v>是</x:v>
      </x:c>
      <x:c r="D2" s="92" t="str">
        <x:v>本锥桶地图格式版本</x:v>
      </x:c>
    </x:row>
    <x:row r="3">
      <x:c r="A3" s="89" t="str">
        <x:v>map.id</x:v>
      </x:c>
      <x:c r="B3" s="40" t="str">
        <x:v>string</x:v>
      </x:c>
      <x:c r="C3" s="40" t="str">
        <x:v>是</x:v>
      </x:c>
      <x:c r="D3" s="92" t="str">
        <x:v>地图唯一ID</x:v>
      </x:c>
    </x:row>
    <x:row r="4">
      <x:c r="A4" s="89" t="str">
        <x:v>map.frame_id</x:v>
      </x:c>
      <x:c r="B4" s="40" t="str">
        <x:v>string</x:v>
      </x:c>
      <x:c r="C4" s="40" t="str">
        <x:v>是</x:v>
      </x:c>
      <x:c r="D4" s="92" t="str">
        <x:v>坐标系，建议固定为map</x:v>
      </x:c>
    </x:row>
    <x:row r="5">
      <x:c r="A5" s="89" t="str">
        <x:v>map.units</x:v>
      </x:c>
      <x:c r="B5" s="40" t="str">
        <x:v>string</x:v>
      </x:c>
      <x:c r="C5" s="40" t="str">
        <x:v>是</x:v>
      </x:c>
      <x:c r="D5" s="92" t="str">
        <x:v>本文件固定为m</x:v>
      </x:c>
    </x:row>
    <x:row r="6">
      <x:c r="A6" s="89" t="str">
        <x:v>map.coordinate_convention</x:v>
      </x:c>
      <x:c r="B6" s="40" t="str">
        <x:v>object</x:v>
      </x:c>
      <x:c r="C6" s="40" t="str">
        <x:v>是</x:v>
      </x:c>
      <x:c r="D6" s="92" t="str">
        <x:v>原点、轴方向、yaw定义</x:v>
      </x:c>
    </x:row>
    <x:row r="7">
      <x:c r="A7" s="89" t="str">
        <x:v>map.coordinate_precision_m</x:v>
      </x:c>
      <x:c r="B7" s="40" t="str">
        <x:v>number</x:v>
      </x:c>
      <x:c r="C7" s="40" t="str">
        <x:v>是</x:v>
      </x:c>
      <x:c r="D7" s="92" t="str">
        <x:v>坐标保留精度</x:v>
      </x:c>
    </x:row>
    <x:row r="8">
      <x:c r="A8" s="89" t="str">
        <x:v>map.recommended_grid_resolution_m</x:v>
      </x:c>
      <x:c r="B8" s="40" t="str">
        <x:v>number</x:v>
      </x:c>
      <x:c r="C8" s="40" t="str">
        <x:v>否</x:v>
      </x:c>
      <x:c r="D8" s="92" t="str">
        <x:v>后续栅格化建议分辨率</x:v>
      </x:c>
    </x:row>
    <x:row r="9">
      <x:c r="A9" s="89" t="str">
        <x:v>map.bounds_m</x:v>
      </x:c>
      <x:c r="B9" s="40" t="str">
        <x:v>object</x:v>
      </x:c>
      <x:c r="C9" s="40" t="str">
        <x:v>是</x:v>
      </x:c>
      <x:c r="D9" s="92" t="str">
        <x:v>地图最小/最大XY边界</x:v>
      </x:c>
    </x:row>
    <x:row r="10">
      <x:c r="A10" s="89" t="str">
        <x:v>geometry.center_distance_m</x:v>
      </x:c>
      <x:c r="B10" s="40" t="str">
        <x:v>number</x:v>
      </x:c>
      <x:c r="C10" s="40" t="str">
        <x:v>是</x:v>
      </x:c>
      <x:c r="D10" s="92" t="str">
        <x:v>两圆心距离</x:v>
      </x:c>
    </x:row>
    <x:row r="11">
      <x:c r="A11" s="89" t="str">
        <x:v>geometry.inner_radius_m</x:v>
      </x:c>
      <x:c r="B11" s="40" t="str">
        <x:v>number</x:v>
      </x:c>
      <x:c r="C11" s="40" t="str">
        <x:v>是</x:v>
      </x:c>
      <x:c r="D11" s="92" t="str">
        <x:v>内边界半径</x:v>
      </x:c>
    </x:row>
    <x:row r="12">
      <x:c r="A12" s="89" t="str">
        <x:v>geometry.centerline_radius_m</x:v>
      </x:c>
      <x:c r="B12" s="40" t="str">
        <x:v>number</x:v>
      </x:c>
      <x:c r="C12" s="40" t="str">
        <x:v>是</x:v>
      </x:c>
      <x:c r="D12" s="92" t="str">
        <x:v>参考轨迹半径</x:v>
      </x:c>
    </x:row>
    <x:row r="13">
      <x:c r="A13" s="89" t="str">
        <x:v>geometry.outer_radius_m</x:v>
      </x:c>
      <x:c r="B13" s="40" t="str">
        <x:v>number</x:v>
      </x:c>
      <x:c r="C13" s="40" t="str">
        <x:v>是</x:v>
      </x:c>
      <x:c r="D13" s="92" t="str">
        <x:v>外边界半径</x:v>
      </x:c>
    </x:row>
    <x:row r="14">
      <x:c r="A14" s="89" t="str">
        <x:v>geometry.left_circle_center_m</x:v>
      </x:c>
      <x:c r="B14" s="40" t="str">
        <x:v>[x,y,z]</x:v>
      </x:c>
      <x:c r="C14" s="40" t="str">
        <x:v>是</x:v>
      </x:c>
      <x:c r="D14" s="92" t="str">
        <x:v>左圆圆心</x:v>
      </x:c>
    </x:row>
    <x:row r="15">
      <x:c r="A15" s="89" t="str">
        <x:v>geometry.right_circle_center_m</x:v>
      </x:c>
      <x:c r="B15" s="40" t="str">
        <x:v>[x,y,z]</x:v>
      </x:c>
      <x:c r="C15" s="40" t="str">
        <x:v>是</x:v>
      </x:c>
      <x:c r="D15" s="92" t="str">
        <x:v>右圆圆心</x:v>
      </x:c>
    </x:row>
    <x:row r="16">
      <x:c r="A16" s="89" t="str">
        <x:v>geometry.central_corridor</x:v>
      </x:c>
      <x:c r="B16" s="40" t="str">
        <x:v>object</x:v>
      </x:c>
      <x:c r="C16" s="40" t="str">
        <x:v>是</x:v>
      </x:c>
      <x:c r="D16" s="92" t="str">
        <x:v>中心3m通道矩形范围</x:v>
      </x:c>
    </x:row>
    <x:row r="17">
      <x:c r="A17" s="89" t="str">
        <x:v>geometry.start_finish_line</x:v>
      </x:c>
      <x:c r="B17" s="40" t="str">
        <x:v>object</x:v>
      </x:c>
      <x:c r="C17" s="40" t="str">
        <x:v>是</x:v>
      </x:c>
      <x:c r="D17" s="92" t="str">
        <x:v>起点-终点线两个端点</x:v>
      </x:c>
    </x:row>
    <x:row r="18">
      <x:c r="A18" s="89" t="str">
        <x:v>geometry.entry_gate/exit_gate</x:v>
      </x:c>
      <x:c r="B18" s="40" t="str">
        <x:v>object</x:v>
      </x:c>
      <x:c r="C18" s="40" t="str">
        <x:v>是</x:v>
      </x:c>
      <x:c r="D18" s="92" t="str">
        <x:v>入口/出口门线端点</x:v>
      </x:c>
    </x:row>
    <x:row r="19">
      <x:c r="A19" s="89" t="str">
        <x:v>geometry.stop_zone</x:v>
      </x:c>
      <x:c r="B19" s="40" t="str">
        <x:v>object</x:v>
      </x:c>
      <x:c r="C19" s="40" t="str">
        <x:v>否</x:v>
      </x:c>
      <x:c r="D19" s="92" t="str">
        <x:v>灰色停止区域</x:v>
      </x:c>
    </x:row>
    <x:row r="20">
      <x:c r="A20" s="89" t="str">
        <x:v>route_reference</x:v>
      </x:c>
      <x:c r="B20" s="40" t="str">
        <x:v>object</x:v>
      </x:c>
      <x:c r="C20" s="40" t="str">
        <x:v>否</x:v>
      </x:c>
      <x:c r="D20" s="92" t="str">
        <x:v>入口、1-4圈、出口的参考路径</x:v>
      </x:c>
    </x:row>
    <x:row r="21">
      <x:c r="A21" s="89" t="str">
        <x:v>cone_models</x:v>
      </x:c>
      <x:c r="B21" s="40" t="str">
        <x:v>object</x:v>
      </x:c>
      <x:c r="C21" s="40" t="str">
        <x:v>是</x:v>
      </x:c>
      <x:c r="D21" s="92" t="str">
        <x:v>小锥桶/高锥桶尺寸及反光带</x:v>
      </x:c>
    </x:row>
    <x:row r="22">
      <x:c r="A22" s="89" t="str">
        <x:v>cones[].id</x:v>
      </x:c>
      <x:c r="B22" s="40" t="str">
        <x:v>string</x:v>
      </x:c>
      <x:c r="C22" s="40" t="str">
        <x:v>是</x:v>
      </x:c>
      <x:c r="D22" s="92" t="str">
        <x:v>锥桶唯一ID</x:v>
      </x:c>
    </x:row>
    <x:row r="23">
      <x:c r="A23" s="89" t="str">
        <x:v>cones[].semantic_type</x:v>
      </x:c>
      <x:c r="B23" s="40" t="str">
        <x:v>enum</x:v>
      </x:c>
      <x:c r="C23" s="40" t="str">
        <x:v>是</x:v>
      </x:c>
      <x:c r="D23" s="92" t="str">
        <x:v>route/deceleration/direction_change</x:v>
      </x:c>
    </x:row>
    <x:row r="24">
      <x:c r="A24" s="89" t="str">
        <x:v>cones[].color</x:v>
      </x:c>
      <x:c r="B24" s="40" t="str">
        <x:v>enum</x:v>
      </x:c>
      <x:c r="C24" s="40" t="str">
        <x:v>是</x:v>
      </x:c>
      <x:c r="D24" s="92" t="str">
        <x:v>red/blue/yellow</x:v>
      </x:c>
    </x:row>
    <x:row r="25">
      <x:c r="A25" s="89" t="str">
        <x:v>cones[].model</x:v>
      </x:c>
      <x:c r="B25" s="40" t="str">
        <x:v>enum</x:v>
      </x:c>
      <x:c r="C25" s="40" t="str">
        <x:v>是</x:v>
      </x:c>
      <x:c r="D25" s="92" t="str">
        <x:v>small_route/small_deceleration/large_direction_change</x:v>
      </x:c>
    </x:row>
    <x:row r="26">
      <x:c r="A26" s="89" t="str">
        <x:v>cones[].x_m/y_m/z_m</x:v>
      </x:c>
      <x:c r="B26" s="40" t="str">
        <x:v>number</x:v>
      </x:c>
      <x:c r="C26" s="40" t="str">
        <x:v>是</x:v>
      </x:c>
      <x:c r="D26" s="92" t="str">
        <x:v>锥桶底座中心坐标</x:v>
      </x:c>
    </x:row>
    <x:row r="27">
      <x:c r="A27" s="89" t="str">
        <x:v>cones[].yaw_rad</x:v>
      </x:c>
      <x:c r="B27" s="40" t="str">
        <x:v>number</x:v>
      </x:c>
      <x:c r="C27" s="40" t="str">
        <x:v>是</x:v>
      </x:c>
      <x:c r="D27" s="92" t="str">
        <x:v>锥桶朝向；圆锥对称时可为0</x:v>
      </x:c>
    </x:row>
    <x:row r="28">
      <x:c r="A28" s="89" t="str">
        <x:v>cones[].source_status</x:v>
      </x:c>
      <x:c r="B28" s="40" t="str">
        <x:v>enum</x:v>
      </x:c>
      <x:c r="C28" s="40" t="str">
        <x:v>是</x:v>
      </x:c>
      <x:c r="D28" s="92" t="str">
        <x:v>spec-derived/derived-layout/engineering-assumption</x:v>
      </x:c>
    </x:row>
    <x:row r="29">
      <x:c r="A29" s="93" t="str">
        <x:v>cones[].active</x:v>
      </x:c>
      <x:c r="B29" s="94" t="str">
        <x:v>boolean</x:v>
      </x:c>
      <x:c r="C29" s="94" t="str">
        <x:v>是</x:v>
      </x:c>
      <x:c r="D29" s="97" t="str">
        <x:v>是否启用该锥桶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2" hidden="0" customWidth="1"/>
  </x:cols>
  <x:sheetData>
    <x:row r="1">
      <x:c r="A1" s="110" t="str">
        <x:v>类别</x:v>
      </x:c>
      <x:c r="B1" s="111" t="str">
        <x:v>预期数量</x:v>
      </x:c>
      <x:c r="C1" s="111" t="str">
        <x:v>实际数量</x:v>
      </x:c>
      <x:c r="D1" s="112" t="str">
        <x:v>校核</x:v>
      </x:c>
    </x:row>
    <x:row r="2">
      <x:c r="A2" s="66" t="str">
        <x:v>左圆内边界红色小锥桶</x:v>
      </x:c>
      <x:c r="B2" s="22" t="n">
        <x:v>16</x:v>
      </x:c>
      <x:c r="C2" s="22" t="n">
        <x:v>16</x:v>
      </x:c>
      <x:c r="D2" s="68" t="b">
        <x:f>B2=C2</x:f>
        <x:v>1</x:v>
      </x:c>
    </x:row>
    <x:row r="3">
      <x:c r="A3" s="66" t="str">
        <x:v>右圆内边界蓝色小锥桶</x:v>
      </x:c>
      <x:c r="B3" s="22" t="n">
        <x:v>16</x:v>
      </x:c>
      <x:c r="C3" s="22" t="n">
        <x:v>16</x:v>
      </x:c>
      <x:c r="D3" s="68" t="b">
        <x:f>B3=C3</x:f>
        <x:v>1</x:v>
      </x:c>
    </x:row>
    <x:row r="4">
      <x:c r="A4" s="66" t="str">
        <x:v>左圆外边界蓝色小锥桶</x:v>
      </x:c>
      <x:c r="B4" s="22" t="n">
        <x:v>13</x:v>
      </x:c>
      <x:c r="C4" s="22" t="n">
        <x:v>13</x:v>
      </x:c>
      <x:c r="D4" s="68" t="b">
        <x:f>B4=C4</x:f>
        <x:v>1</x:v>
      </x:c>
    </x:row>
    <x:row r="5">
      <x:c r="A5" s="66" t="str">
        <x:v>右圆外边界红色小锥桶</x:v>
      </x:c>
      <x:c r="B5" s="22" t="n">
        <x:v>13</x:v>
      </x:c>
      <x:c r="C5" s="22" t="n">
        <x:v>13</x:v>
      </x:c>
      <x:c r="D5" s="68" t="b">
        <x:f>B5=C5</x:f>
        <x:v>1</x:v>
      </x:c>
    </x:row>
    <x:row r="6">
      <x:c r="A6" s="66" t="str">
        <x:v>黄色高换向锥桶</x:v>
      </x:c>
      <x:c r="B6" s="22" t="n">
        <x:v>4</x:v>
      </x:c>
      <x:c r="C6" s="22" t="n">
        <x:v>4</x:v>
      </x:c>
      <x:c r="D6" s="68" t="b">
        <x:f>B6=C6</x:f>
        <x:v>1</x:v>
      </x:c>
    </x:row>
    <x:row r="7">
      <x:c r="A7" s="66" t="str">
        <x:v>黄色小减速锥桶</x:v>
      </x:c>
      <x:c r="B7" s="22" t="n">
        <x:v>4</x:v>
      </x:c>
      <x:c r="C7" s="22" t="n">
        <x:v>4</x:v>
      </x:c>
      <x:c r="D7" s="68" t="b">
        <x:f>B7=C7</x:f>
        <x:v>1</x:v>
      </x:c>
    </x:row>
    <x:row r="8">
      <x:c r="A8" s="69" t="str">
        <x:v>总数</x:v>
      </x:c>
      <x:c r="B8" s="70" t="n">
        <x:v>66</x:v>
      </x:c>
      <x:c r="C8" s="70" t="n">
        <x:v>66</x:v>
      </x:c>
      <x:c r="D8" s="72" t="b">
        <x:f>B8=C8</x:f>
        <x:v>1</x:v>
      </x:c>
    </x:row>
  </x:sheetData>
  <x:conditionalFormatting sqref="D2:D8">
    <x:cfRule type="expression" dxfId="1" priority="1">
      <x:formula>D2=TRUE</x:formula>
    </x:cfRule>
    <x:cfRule type="expression" dxfId="2" priority="2">
      <x:formula>D2=FALSE</x:formula>
    </x:cfRule>
  </x:conditionalFormatting>
  <x:pageMargins left="0.7" right="0.7" top="0.75" bottom="0.75" header="0.3" footer="0.3"/>
</x:worksheet>
</file>